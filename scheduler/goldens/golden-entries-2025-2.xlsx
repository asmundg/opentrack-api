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drett.sharepoint.com/sites/58354.group/Shared Documents/General/Stevner/2025/2025-02-24 Seriestevne 2/"/>
    </mc:Choice>
  </mc:AlternateContent>
  <xr:revisionPtr revIDLastSave="612" documentId="11_4F5089D82C50B1B15BB83C2E2F2F9984097B37F6" xr6:coauthVersionLast="47" xr6:coauthVersionMax="47" xr10:uidLastSave="{FD8BCC46-F643-42E1-BEC6-D87273F461B2}"/>
  <bookViews>
    <workbookView xWindow="-30828" yWindow="3744" windowWidth="30936" windowHeight="18816" firstSheet="2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2">Sheet3!$A$1:$Q$39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7" i="3" l="1"/>
  <c r="AP51" i="3"/>
  <c r="AK51" i="3"/>
  <c r="AE7" i="3"/>
  <c r="AF7" i="3"/>
  <c r="AG7" i="3"/>
  <c r="AH7" i="3"/>
  <c r="AI7" i="3"/>
  <c r="AJ7" i="3"/>
  <c r="AK7" i="3"/>
  <c r="AK31" i="3"/>
  <c r="AL7" i="3"/>
  <c r="AM7" i="3"/>
  <c r="AM31" i="3"/>
  <c r="AN7" i="3"/>
  <c r="AO7" i="3"/>
  <c r="AP7" i="3"/>
  <c r="AP31" i="3"/>
  <c r="AE8" i="3"/>
  <c r="AF8" i="3"/>
  <c r="AG8" i="3"/>
  <c r="AH8" i="3"/>
  <c r="AI8" i="3"/>
  <c r="AJ8" i="3"/>
  <c r="AK8" i="3"/>
  <c r="AK32" i="3"/>
  <c r="AL8" i="3"/>
  <c r="AM8" i="3"/>
  <c r="AM32" i="3"/>
  <c r="AN8" i="3"/>
  <c r="AO8" i="3"/>
  <c r="AP8" i="3"/>
  <c r="AP32" i="3"/>
  <c r="AE9" i="3"/>
  <c r="AF9" i="3"/>
  <c r="AG9" i="3"/>
  <c r="AH9" i="3"/>
  <c r="AI9" i="3"/>
  <c r="AJ9" i="3"/>
  <c r="AK9" i="3"/>
  <c r="AK33" i="3"/>
  <c r="AL9" i="3"/>
  <c r="AM9" i="3"/>
  <c r="AM33" i="3"/>
  <c r="AN9" i="3"/>
  <c r="AO9" i="3"/>
  <c r="AP9" i="3"/>
  <c r="AP33" i="3"/>
  <c r="AE10" i="3"/>
  <c r="AF10" i="3"/>
  <c r="AG10" i="3"/>
  <c r="AH10" i="3"/>
  <c r="AI10" i="3"/>
  <c r="AJ10" i="3"/>
  <c r="AK10" i="3"/>
  <c r="AK34" i="3"/>
  <c r="AL10" i="3"/>
  <c r="AM10" i="3"/>
  <c r="AM34" i="3"/>
  <c r="AN10" i="3"/>
  <c r="AO10" i="3"/>
  <c r="AP10" i="3"/>
  <c r="AP34" i="3"/>
  <c r="AE11" i="3"/>
  <c r="AF11" i="3"/>
  <c r="AG11" i="3"/>
  <c r="AH11" i="3"/>
  <c r="AI11" i="3"/>
  <c r="AJ11" i="3"/>
  <c r="AK11" i="3"/>
  <c r="AK35" i="3"/>
  <c r="AL11" i="3"/>
  <c r="AM11" i="3"/>
  <c r="AM35" i="3"/>
  <c r="AN11" i="3"/>
  <c r="AO11" i="3"/>
  <c r="AP11" i="3"/>
  <c r="AP35" i="3"/>
  <c r="AE12" i="3"/>
  <c r="AF12" i="3"/>
  <c r="AG12" i="3"/>
  <c r="AH12" i="3"/>
  <c r="AI12" i="3"/>
  <c r="AJ12" i="3"/>
  <c r="AK12" i="3"/>
  <c r="AK36" i="3"/>
  <c r="AL12" i="3"/>
  <c r="AM12" i="3"/>
  <c r="AM36" i="3"/>
  <c r="AN12" i="3"/>
  <c r="AO12" i="3"/>
  <c r="AP12" i="3"/>
  <c r="AP36" i="3"/>
  <c r="AE13" i="3"/>
  <c r="AF13" i="3"/>
  <c r="AG13" i="3"/>
  <c r="AH13" i="3"/>
  <c r="AI13" i="3"/>
  <c r="AJ13" i="3"/>
  <c r="AK13" i="3"/>
  <c r="AK37" i="3"/>
  <c r="AL13" i="3"/>
  <c r="AM13" i="3"/>
  <c r="AM37" i="3"/>
  <c r="AN13" i="3"/>
  <c r="AO13" i="3"/>
  <c r="AP13" i="3"/>
  <c r="AP37" i="3"/>
  <c r="AE14" i="3"/>
  <c r="AF14" i="3"/>
  <c r="AG14" i="3"/>
  <c r="AH14" i="3"/>
  <c r="AI14" i="3"/>
  <c r="AJ14" i="3"/>
  <c r="AK14" i="3"/>
  <c r="AK38" i="3"/>
  <c r="AL14" i="3"/>
  <c r="AM14" i="3"/>
  <c r="AM38" i="3"/>
  <c r="AN14" i="3"/>
  <c r="AO14" i="3"/>
  <c r="AP14" i="3"/>
  <c r="AP38" i="3"/>
  <c r="AE15" i="3"/>
  <c r="AF15" i="3"/>
  <c r="AG15" i="3"/>
  <c r="AH15" i="3"/>
  <c r="AI15" i="3"/>
  <c r="AJ15" i="3"/>
  <c r="AK15" i="3"/>
  <c r="AK39" i="3"/>
  <c r="AL15" i="3"/>
  <c r="AM15" i="3"/>
  <c r="AM39" i="3"/>
  <c r="AN15" i="3"/>
  <c r="AO15" i="3"/>
  <c r="AP15" i="3"/>
  <c r="AP39" i="3"/>
  <c r="AE16" i="3"/>
  <c r="AF16" i="3"/>
  <c r="AG16" i="3"/>
  <c r="AH16" i="3"/>
  <c r="AI16" i="3"/>
  <c r="AJ16" i="3"/>
  <c r="AK16" i="3"/>
  <c r="AK40" i="3"/>
  <c r="AL16" i="3"/>
  <c r="AM16" i="3"/>
  <c r="AM40" i="3"/>
  <c r="AN16" i="3"/>
  <c r="AO16" i="3"/>
  <c r="AP16" i="3"/>
  <c r="AP40" i="3"/>
  <c r="AE17" i="3"/>
  <c r="AF17" i="3"/>
  <c r="AG17" i="3"/>
  <c r="AH17" i="3"/>
  <c r="AI17" i="3"/>
  <c r="AJ17" i="3"/>
  <c r="AK17" i="3"/>
  <c r="AK41" i="3"/>
  <c r="AL17" i="3"/>
  <c r="AM17" i="3"/>
  <c r="AM41" i="3"/>
  <c r="AN17" i="3"/>
  <c r="AO17" i="3"/>
  <c r="AP17" i="3"/>
  <c r="AP41" i="3"/>
  <c r="AE18" i="3"/>
  <c r="AF18" i="3"/>
  <c r="AG18" i="3"/>
  <c r="AH18" i="3"/>
  <c r="AI18" i="3"/>
  <c r="AJ18" i="3"/>
  <c r="AK18" i="3"/>
  <c r="AK42" i="3"/>
  <c r="AL18" i="3"/>
  <c r="AM18" i="3"/>
  <c r="AM42" i="3"/>
  <c r="AN18" i="3"/>
  <c r="AO18" i="3"/>
  <c r="AP18" i="3"/>
  <c r="AP42" i="3"/>
  <c r="AE19" i="3"/>
  <c r="AF19" i="3"/>
  <c r="AG19" i="3"/>
  <c r="AH19" i="3"/>
  <c r="AI19" i="3"/>
  <c r="AJ19" i="3"/>
  <c r="AK19" i="3"/>
  <c r="AK43" i="3"/>
  <c r="AL19" i="3"/>
  <c r="AM19" i="3"/>
  <c r="AM43" i="3"/>
  <c r="AN19" i="3"/>
  <c r="AO19" i="3"/>
  <c r="AP19" i="3"/>
  <c r="AP43" i="3"/>
  <c r="AE20" i="3"/>
  <c r="AF20" i="3"/>
  <c r="AG20" i="3"/>
  <c r="AH20" i="3"/>
  <c r="AI20" i="3"/>
  <c r="AJ20" i="3"/>
  <c r="AK20" i="3"/>
  <c r="AK44" i="3"/>
  <c r="AL20" i="3"/>
  <c r="AM20" i="3"/>
  <c r="AM44" i="3"/>
  <c r="AN20" i="3"/>
  <c r="AO20" i="3"/>
  <c r="AP20" i="3"/>
  <c r="AP44" i="3"/>
  <c r="AE21" i="3"/>
  <c r="AF21" i="3"/>
  <c r="AG21" i="3"/>
  <c r="AH21" i="3"/>
  <c r="AI21" i="3"/>
  <c r="AJ21" i="3"/>
  <c r="AK21" i="3"/>
  <c r="AK45" i="3"/>
  <c r="AL21" i="3"/>
  <c r="AM21" i="3"/>
  <c r="AM45" i="3"/>
  <c r="AN21" i="3"/>
  <c r="AO21" i="3"/>
  <c r="AP21" i="3"/>
  <c r="AP45" i="3"/>
  <c r="AE22" i="3"/>
  <c r="AF22" i="3"/>
  <c r="AG22" i="3"/>
  <c r="AH22" i="3"/>
  <c r="AI22" i="3"/>
  <c r="AJ22" i="3"/>
  <c r="AK22" i="3"/>
  <c r="AK46" i="3"/>
  <c r="AL22" i="3"/>
  <c r="AM22" i="3"/>
  <c r="AM46" i="3"/>
  <c r="AN22" i="3"/>
  <c r="AO22" i="3"/>
  <c r="AP22" i="3"/>
  <c r="AP46" i="3"/>
  <c r="AE23" i="3"/>
  <c r="AF23" i="3"/>
  <c r="AG23" i="3"/>
  <c r="AH23" i="3"/>
  <c r="AI23" i="3"/>
  <c r="AJ23" i="3"/>
  <c r="AK23" i="3"/>
  <c r="AK47" i="3"/>
  <c r="AL23" i="3"/>
  <c r="AM23" i="3"/>
  <c r="AM47" i="3"/>
  <c r="AN23" i="3"/>
  <c r="AO23" i="3"/>
  <c r="AP23" i="3"/>
  <c r="AP47" i="3"/>
  <c r="AE24" i="3"/>
  <c r="AF24" i="3"/>
  <c r="AG24" i="3"/>
  <c r="AH24" i="3"/>
  <c r="AI24" i="3"/>
  <c r="AJ24" i="3"/>
  <c r="AK24" i="3"/>
  <c r="AK48" i="3"/>
  <c r="AL24" i="3"/>
  <c r="AM24" i="3"/>
  <c r="AM48" i="3"/>
  <c r="AN24" i="3"/>
  <c r="AO24" i="3"/>
  <c r="AP24" i="3"/>
  <c r="AP48" i="3"/>
  <c r="AE25" i="3"/>
  <c r="AF25" i="3"/>
  <c r="AG25" i="3"/>
  <c r="AH25" i="3"/>
  <c r="AI25" i="3"/>
  <c r="AJ25" i="3"/>
  <c r="AK25" i="3"/>
  <c r="AK49" i="3"/>
  <c r="AL25" i="3"/>
  <c r="AM25" i="3"/>
  <c r="AM49" i="3"/>
  <c r="AN25" i="3"/>
  <c r="AO25" i="3"/>
  <c r="AP25" i="3"/>
  <c r="AP49" i="3"/>
  <c r="AE26" i="3"/>
  <c r="AF26" i="3"/>
  <c r="AG26" i="3"/>
  <c r="AH26" i="3"/>
  <c r="AI26" i="3"/>
  <c r="AJ26" i="3"/>
  <c r="AK26" i="3"/>
  <c r="AK50" i="3"/>
  <c r="AL26" i="3"/>
  <c r="AM26" i="3"/>
  <c r="AM50" i="3"/>
  <c r="AN26" i="3"/>
  <c r="AO26" i="3"/>
  <c r="AP26" i="3"/>
  <c r="AP50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E52" i="3"/>
  <c r="AF52" i="3"/>
  <c r="AG52" i="3"/>
  <c r="AH52" i="3"/>
  <c r="AI52" i="3"/>
  <c r="AJ52" i="3"/>
  <c r="AD52" i="3"/>
  <c r="AK30" i="3"/>
  <c r="AL30" i="3"/>
  <c r="AM30" i="3"/>
  <c r="AN30" i="3"/>
  <c r="AO30" i="3"/>
  <c r="AL31" i="3"/>
  <c r="AN31" i="3"/>
  <c r="AO31" i="3"/>
  <c r="AL32" i="3"/>
  <c r="AN32" i="3"/>
  <c r="AO32" i="3"/>
  <c r="AL33" i="3"/>
  <c r="AN33" i="3"/>
  <c r="AO33" i="3"/>
  <c r="AL34" i="3"/>
  <c r="AN34" i="3"/>
  <c r="AO34" i="3"/>
  <c r="AL35" i="3"/>
  <c r="AN35" i="3"/>
  <c r="AO35" i="3"/>
  <c r="AL36" i="3"/>
  <c r="AN36" i="3"/>
  <c r="AO36" i="3"/>
  <c r="AL37" i="3"/>
  <c r="AN37" i="3"/>
  <c r="AO37" i="3"/>
  <c r="AL38" i="3"/>
  <c r="AN38" i="3"/>
  <c r="AO38" i="3"/>
  <c r="AL39" i="3"/>
  <c r="AN39" i="3"/>
  <c r="AO39" i="3"/>
  <c r="AL40" i="3"/>
  <c r="AN40" i="3"/>
  <c r="AO40" i="3"/>
  <c r="AL41" i="3"/>
  <c r="AN41" i="3"/>
  <c r="AO41" i="3"/>
  <c r="AL42" i="3"/>
  <c r="AN42" i="3"/>
  <c r="AO42" i="3"/>
  <c r="AL43" i="3"/>
  <c r="AN43" i="3"/>
  <c r="AO43" i="3"/>
  <c r="AL44" i="3"/>
  <c r="AN44" i="3"/>
  <c r="AO44" i="3"/>
  <c r="AL45" i="3"/>
  <c r="AN45" i="3"/>
  <c r="AO45" i="3"/>
  <c r="AL46" i="3"/>
  <c r="AN46" i="3"/>
  <c r="AO46" i="3"/>
  <c r="AL47" i="3"/>
  <c r="AN47" i="3"/>
  <c r="AO47" i="3"/>
  <c r="AL48" i="3"/>
  <c r="AN48" i="3"/>
  <c r="AO48" i="3"/>
  <c r="AL49" i="3"/>
  <c r="AN49" i="3"/>
  <c r="AO49" i="3"/>
  <c r="AL50" i="3"/>
  <c r="AN50" i="3"/>
  <c r="AO50" i="3"/>
  <c r="AP30" i="3"/>
  <c r="U7" i="3"/>
  <c r="V7" i="3"/>
  <c r="W7" i="3"/>
  <c r="X7" i="3"/>
  <c r="Y7" i="3"/>
  <c r="Z7" i="3"/>
  <c r="AA7" i="3"/>
  <c r="AB7" i="3"/>
  <c r="AC7" i="3"/>
  <c r="AQ7" i="3"/>
  <c r="AR7" i="3"/>
  <c r="AS7" i="3"/>
  <c r="U8" i="3"/>
  <c r="V8" i="3"/>
  <c r="W8" i="3"/>
  <c r="X8" i="3"/>
  <c r="Y8" i="3"/>
  <c r="Z8" i="3"/>
  <c r="AA8" i="3"/>
  <c r="AB8" i="3"/>
  <c r="AC8" i="3"/>
  <c r="AQ8" i="3"/>
  <c r="AR8" i="3"/>
  <c r="AS8" i="3"/>
  <c r="U9" i="3"/>
  <c r="V9" i="3"/>
  <c r="W9" i="3"/>
  <c r="X9" i="3"/>
  <c r="Y9" i="3"/>
  <c r="Z9" i="3"/>
  <c r="AA9" i="3"/>
  <c r="AB9" i="3"/>
  <c r="AC9" i="3"/>
  <c r="AQ9" i="3"/>
  <c r="AR9" i="3"/>
  <c r="AS9" i="3"/>
  <c r="U10" i="3"/>
  <c r="V10" i="3"/>
  <c r="W10" i="3"/>
  <c r="X10" i="3"/>
  <c r="Y10" i="3"/>
  <c r="Z10" i="3"/>
  <c r="AA10" i="3"/>
  <c r="AB10" i="3"/>
  <c r="AC10" i="3"/>
  <c r="AQ10" i="3"/>
  <c r="AR10" i="3"/>
  <c r="AS10" i="3"/>
  <c r="U11" i="3"/>
  <c r="V11" i="3"/>
  <c r="W11" i="3"/>
  <c r="X11" i="3"/>
  <c r="Y11" i="3"/>
  <c r="Z11" i="3"/>
  <c r="AA11" i="3"/>
  <c r="AB11" i="3"/>
  <c r="AC11" i="3"/>
  <c r="AQ11" i="3"/>
  <c r="AR11" i="3"/>
  <c r="AS11" i="3"/>
  <c r="U12" i="3"/>
  <c r="V12" i="3"/>
  <c r="W12" i="3"/>
  <c r="X12" i="3"/>
  <c r="Y12" i="3"/>
  <c r="Z12" i="3"/>
  <c r="AA12" i="3"/>
  <c r="AB12" i="3"/>
  <c r="AC12" i="3"/>
  <c r="AQ12" i="3"/>
  <c r="AR12" i="3"/>
  <c r="AS12" i="3"/>
  <c r="U13" i="3"/>
  <c r="V13" i="3"/>
  <c r="W13" i="3"/>
  <c r="X13" i="3"/>
  <c r="Y13" i="3"/>
  <c r="Z13" i="3"/>
  <c r="AA13" i="3"/>
  <c r="AB13" i="3"/>
  <c r="AC13" i="3"/>
  <c r="AQ13" i="3"/>
  <c r="AR13" i="3"/>
  <c r="AS13" i="3"/>
  <c r="U14" i="3"/>
  <c r="V14" i="3"/>
  <c r="W14" i="3"/>
  <c r="X14" i="3"/>
  <c r="Y14" i="3"/>
  <c r="Z14" i="3"/>
  <c r="AA14" i="3"/>
  <c r="AB14" i="3"/>
  <c r="AC14" i="3"/>
  <c r="AQ14" i="3"/>
  <c r="AR14" i="3"/>
  <c r="AS14" i="3"/>
  <c r="U15" i="3"/>
  <c r="V15" i="3"/>
  <c r="W15" i="3"/>
  <c r="X15" i="3"/>
  <c r="Y15" i="3"/>
  <c r="Z15" i="3"/>
  <c r="AA15" i="3"/>
  <c r="AB15" i="3"/>
  <c r="AC15" i="3"/>
  <c r="AQ15" i="3"/>
  <c r="AR15" i="3"/>
  <c r="AS15" i="3"/>
  <c r="U16" i="3"/>
  <c r="V16" i="3"/>
  <c r="W16" i="3"/>
  <c r="X16" i="3"/>
  <c r="Y16" i="3"/>
  <c r="Z16" i="3"/>
  <c r="AA16" i="3"/>
  <c r="AB16" i="3"/>
  <c r="AC16" i="3"/>
  <c r="AQ16" i="3"/>
  <c r="AR16" i="3"/>
  <c r="AS16" i="3"/>
  <c r="U17" i="3"/>
  <c r="V17" i="3"/>
  <c r="W17" i="3"/>
  <c r="X17" i="3"/>
  <c r="Y17" i="3"/>
  <c r="Z17" i="3"/>
  <c r="AA17" i="3"/>
  <c r="AB17" i="3"/>
  <c r="AC17" i="3"/>
  <c r="AQ17" i="3"/>
  <c r="AR17" i="3"/>
  <c r="AS17" i="3"/>
  <c r="U18" i="3"/>
  <c r="V18" i="3"/>
  <c r="W18" i="3"/>
  <c r="X18" i="3"/>
  <c r="Y18" i="3"/>
  <c r="Z18" i="3"/>
  <c r="AA18" i="3"/>
  <c r="AB18" i="3"/>
  <c r="AC18" i="3"/>
  <c r="AQ18" i="3"/>
  <c r="AR18" i="3"/>
  <c r="AS18" i="3"/>
  <c r="U19" i="3"/>
  <c r="V19" i="3"/>
  <c r="W19" i="3"/>
  <c r="X19" i="3"/>
  <c r="Y19" i="3"/>
  <c r="Z19" i="3"/>
  <c r="AA19" i="3"/>
  <c r="AB19" i="3"/>
  <c r="AC19" i="3"/>
  <c r="AQ19" i="3"/>
  <c r="AR19" i="3"/>
  <c r="AS19" i="3"/>
  <c r="U20" i="3"/>
  <c r="V20" i="3"/>
  <c r="W20" i="3"/>
  <c r="X20" i="3"/>
  <c r="Y20" i="3"/>
  <c r="Z20" i="3"/>
  <c r="AA20" i="3"/>
  <c r="AB20" i="3"/>
  <c r="AC20" i="3"/>
  <c r="AQ20" i="3"/>
  <c r="AR20" i="3"/>
  <c r="AS20" i="3"/>
  <c r="U21" i="3"/>
  <c r="V21" i="3"/>
  <c r="W21" i="3"/>
  <c r="X21" i="3"/>
  <c r="Y21" i="3"/>
  <c r="Z21" i="3"/>
  <c r="AA21" i="3"/>
  <c r="AB21" i="3"/>
  <c r="AC21" i="3"/>
  <c r="AQ21" i="3"/>
  <c r="AR21" i="3"/>
  <c r="AS21" i="3"/>
  <c r="U22" i="3"/>
  <c r="V22" i="3"/>
  <c r="W22" i="3"/>
  <c r="X22" i="3"/>
  <c r="Y22" i="3"/>
  <c r="Z22" i="3"/>
  <c r="AA22" i="3"/>
  <c r="AB22" i="3"/>
  <c r="AC22" i="3"/>
  <c r="AQ22" i="3"/>
  <c r="AR22" i="3"/>
  <c r="AS22" i="3"/>
  <c r="U23" i="3"/>
  <c r="V23" i="3"/>
  <c r="W23" i="3"/>
  <c r="X23" i="3"/>
  <c r="Y23" i="3"/>
  <c r="Z23" i="3"/>
  <c r="AA23" i="3"/>
  <c r="AB23" i="3"/>
  <c r="AC23" i="3"/>
  <c r="AQ23" i="3"/>
  <c r="AR23" i="3"/>
  <c r="AS23" i="3"/>
  <c r="U24" i="3"/>
  <c r="V24" i="3"/>
  <c r="W24" i="3"/>
  <c r="X24" i="3"/>
  <c r="Y24" i="3"/>
  <c r="Z24" i="3"/>
  <c r="AA24" i="3"/>
  <c r="AB24" i="3"/>
  <c r="AC24" i="3"/>
  <c r="AQ24" i="3"/>
  <c r="AR24" i="3"/>
  <c r="AS24" i="3"/>
  <c r="U25" i="3"/>
  <c r="V25" i="3"/>
  <c r="W25" i="3"/>
  <c r="X25" i="3"/>
  <c r="Y25" i="3"/>
  <c r="Z25" i="3"/>
  <c r="AA25" i="3"/>
  <c r="AB25" i="3"/>
  <c r="AC25" i="3"/>
  <c r="AQ25" i="3"/>
  <c r="AR25" i="3"/>
  <c r="AS25" i="3"/>
  <c r="U26" i="3"/>
  <c r="V26" i="3"/>
  <c r="W26" i="3"/>
  <c r="X26" i="3"/>
  <c r="Y26" i="3"/>
  <c r="Z26" i="3"/>
  <c r="AA26" i="3"/>
  <c r="AB26" i="3"/>
  <c r="AC26" i="3"/>
  <c r="AQ26" i="3"/>
  <c r="AR26" i="3"/>
  <c r="AS26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7" i="3"/>
  <c r="AD5" i="3"/>
  <c r="AS50" i="3"/>
  <c r="AR50" i="3"/>
  <c r="AQ50" i="3"/>
  <c r="AS49" i="3"/>
  <c r="AR49" i="3"/>
  <c r="AQ49" i="3"/>
  <c r="AS48" i="3"/>
  <c r="AR48" i="3"/>
  <c r="AQ48" i="3"/>
  <c r="AS47" i="3"/>
  <c r="AR47" i="3"/>
  <c r="AQ47" i="3"/>
  <c r="AS46" i="3"/>
  <c r="AR46" i="3"/>
  <c r="AQ46" i="3"/>
  <c r="AS45" i="3"/>
  <c r="AR45" i="3"/>
  <c r="AQ45" i="3"/>
  <c r="AS44" i="3"/>
  <c r="AR44" i="3"/>
  <c r="AQ44" i="3"/>
  <c r="AS43" i="3"/>
  <c r="AR43" i="3"/>
  <c r="AQ43" i="3"/>
  <c r="AS42" i="3"/>
  <c r="AR42" i="3"/>
  <c r="AQ42" i="3"/>
  <c r="AS41" i="3"/>
  <c r="AR41" i="3"/>
  <c r="AQ41" i="3"/>
  <c r="AS40" i="3"/>
  <c r="AR40" i="3"/>
  <c r="AQ40" i="3"/>
  <c r="AS39" i="3"/>
  <c r="AR39" i="3"/>
  <c r="AQ39" i="3"/>
  <c r="AS38" i="3"/>
  <c r="AR38" i="3"/>
  <c r="AQ38" i="3"/>
  <c r="AS37" i="3"/>
  <c r="AR37" i="3"/>
  <c r="AQ37" i="3"/>
  <c r="AS36" i="3"/>
  <c r="AR36" i="3"/>
  <c r="AQ36" i="3"/>
  <c r="AS35" i="3"/>
  <c r="AR35" i="3"/>
  <c r="AQ35" i="3"/>
  <c r="AS34" i="3"/>
  <c r="AR34" i="3"/>
  <c r="AQ34" i="3"/>
  <c r="AS33" i="3"/>
  <c r="AR33" i="3"/>
  <c r="AQ33" i="3"/>
  <c r="Q33" i="3"/>
  <c r="AS32" i="3"/>
  <c r="AR32" i="3"/>
  <c r="AQ32" i="3"/>
  <c r="Q32" i="3"/>
  <c r="AS31" i="3"/>
  <c r="AR31" i="3"/>
  <c r="AQ31" i="3"/>
  <c r="Q31" i="3"/>
  <c r="AS30" i="3"/>
  <c r="AR30" i="3"/>
  <c r="AQ30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C5" i="3"/>
  <c r="AB5" i="3"/>
  <c r="AA5" i="3"/>
  <c r="Z5" i="3"/>
  <c r="Y5" i="3"/>
  <c r="X5" i="3"/>
  <c r="W5" i="3"/>
  <c r="V5" i="3"/>
  <c r="U5" i="3"/>
  <c r="T5" i="3"/>
  <c r="S5" i="3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T27" i="2"/>
  <c r="U23" i="2"/>
  <c r="V23" i="2"/>
  <c r="W23" i="2"/>
  <c r="W27" i="2"/>
  <c r="X23" i="2"/>
  <c r="Y23" i="2"/>
  <c r="Z23" i="2"/>
  <c r="Z27" i="2"/>
  <c r="AA23" i="2"/>
  <c r="C24" i="2"/>
  <c r="D24" i="2"/>
  <c r="D27" i="2"/>
  <c r="E24" i="2"/>
  <c r="F24" i="2"/>
  <c r="G24" i="2"/>
  <c r="G27" i="2"/>
  <c r="H24" i="2"/>
  <c r="I24" i="2"/>
  <c r="J24" i="2"/>
  <c r="J27" i="2"/>
  <c r="K24" i="2"/>
  <c r="L24" i="2"/>
  <c r="M24" i="2"/>
  <c r="M27" i="2"/>
  <c r="N24" i="2"/>
  <c r="O24" i="2"/>
  <c r="P24" i="2"/>
  <c r="P27" i="2"/>
  <c r="Q24" i="2"/>
  <c r="R24" i="2"/>
  <c r="S24" i="2"/>
  <c r="S27" i="2"/>
  <c r="T24" i="2"/>
  <c r="U24" i="2"/>
  <c r="V24" i="2"/>
  <c r="V27" i="2"/>
  <c r="W24" i="2"/>
  <c r="X24" i="2"/>
  <c r="Y24" i="2"/>
  <c r="Y27" i="2"/>
  <c r="Z24" i="2"/>
  <c r="AA24" i="2"/>
  <c r="C25" i="2"/>
  <c r="C27" i="2"/>
  <c r="D25" i="2"/>
  <c r="E25" i="2"/>
  <c r="F25" i="2"/>
  <c r="F27" i="2"/>
  <c r="G25" i="2"/>
  <c r="H25" i="2"/>
  <c r="I25" i="2"/>
  <c r="I27" i="2"/>
  <c r="J25" i="2"/>
  <c r="K25" i="2"/>
  <c r="L25" i="2"/>
  <c r="L27" i="2"/>
  <c r="M25" i="2"/>
  <c r="N25" i="2"/>
  <c r="O25" i="2"/>
  <c r="O27" i="2"/>
  <c r="P25" i="2"/>
  <c r="Q25" i="2"/>
  <c r="R25" i="2"/>
  <c r="R27" i="2"/>
  <c r="S25" i="2"/>
  <c r="T25" i="2"/>
  <c r="U25" i="2"/>
  <c r="U27" i="2"/>
  <c r="V25" i="2"/>
  <c r="W25" i="2"/>
  <c r="X25" i="2"/>
  <c r="X27" i="2"/>
  <c r="Y25" i="2"/>
  <c r="Z25" i="2"/>
  <c r="AA25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6" i="2"/>
  <c r="B27" i="2"/>
  <c r="AA27" i="2"/>
  <c r="E27" i="2"/>
  <c r="H27" i="2"/>
  <c r="K27" i="2"/>
  <c r="N27" i="2"/>
  <c r="Q27" i="2"/>
  <c r="AP52" i="3"/>
  <c r="AO52" i="3"/>
  <c r="AN52" i="3"/>
  <c r="AM52" i="3"/>
  <c r="AL52" i="3"/>
  <c r="AK52" i="3"/>
  <c r="AB27" i="2"/>
</calcChain>
</file>

<file path=xl/sharedStrings.xml><?xml version="1.0" encoding="utf-8"?>
<sst xmlns="http://schemas.openxmlformats.org/spreadsheetml/2006/main" count="4047" uniqueCount="578">
  <si>
    <t>Fornavn</t>
  </si>
  <si>
    <t>Etternavn</t>
  </si>
  <si>
    <t>E-post</t>
  </si>
  <si>
    <t>Land</t>
  </si>
  <si>
    <t>Landskode</t>
  </si>
  <si>
    <t>Fødselsdato</t>
  </si>
  <si>
    <t>Alder</t>
  </si>
  <si>
    <t>Mobil</t>
  </si>
  <si>
    <t>Kjønn</t>
  </si>
  <si>
    <t>Klubb</t>
  </si>
  <si>
    <t>Klubb-ID</t>
  </si>
  <si>
    <t>Gruppe-ID</t>
  </si>
  <si>
    <t>Krets/region</t>
  </si>
  <si>
    <t>Krets/region ID</t>
  </si>
  <si>
    <t>Kommentar</t>
  </si>
  <si>
    <t>Sport</t>
  </si>
  <si>
    <t>Øvelse</t>
  </si>
  <si>
    <t>Klasse</t>
  </si>
  <si>
    <t>Dato</t>
  </si>
  <si>
    <t>Kl.</t>
  </si>
  <si>
    <t>Sum</t>
  </si>
  <si>
    <t>Mva</t>
  </si>
  <si>
    <t>Lisens</t>
  </si>
  <si>
    <t>Helårslisens</t>
  </si>
  <si>
    <t>Engangslisens</t>
  </si>
  <si>
    <t>Påmeldt av</t>
  </si>
  <si>
    <t>E-post påmelder</t>
  </si>
  <si>
    <t>Påmelder betalte</t>
  </si>
  <si>
    <t>Påmelder betalte mva</t>
  </si>
  <si>
    <t>Betalt</t>
  </si>
  <si>
    <t>Transaksjons-ID</t>
  </si>
  <si>
    <t>Påmeldings-ID</t>
  </si>
  <si>
    <t>Påmeldingsstatus</t>
  </si>
  <si>
    <t>Påmeldt dato</t>
  </si>
  <si>
    <t>Påmeldt kl.</t>
  </si>
  <si>
    <t>Deltakerstatus</t>
  </si>
  <si>
    <t>Alle betalinger</t>
  </si>
  <si>
    <t>Buypass ID</t>
  </si>
  <si>
    <t>Person ID</t>
  </si>
  <si>
    <t>Påmeldingsavgift</t>
  </si>
  <si>
    <t>Påmeldingsavgift mva</t>
  </si>
  <si>
    <t>Markedskommunikasjon</t>
  </si>
  <si>
    <t>Mediesamtykke</t>
  </si>
  <si>
    <t>Viljar Herman Porserud</t>
  </si>
  <si>
    <t>Norvik</t>
  </si>
  <si>
    <t>jonviljar@gmail.com</t>
  </si>
  <si>
    <t>Norge</t>
  </si>
  <si>
    <t>NOR</t>
  </si>
  <si>
    <t>22.05.2016</t>
  </si>
  <si>
    <t>8 år</t>
  </si>
  <si>
    <t>+4795923292</t>
  </si>
  <si>
    <t>M</t>
  </si>
  <si>
    <t>IL i BUL Tromsø</t>
  </si>
  <si>
    <t>28037</t>
  </si>
  <si>
    <t>58354</t>
  </si>
  <si>
    <t>Troms friidrettskrets</t>
  </si>
  <si>
    <t>555</t>
  </si>
  <si>
    <t/>
  </si>
  <si>
    <t>Friidrett på bane</t>
  </si>
  <si>
    <t>300 meter</t>
  </si>
  <si>
    <t>Gutter 10</t>
  </si>
  <si>
    <t>24.02.2025</t>
  </si>
  <si>
    <t>17:00</t>
  </si>
  <si>
    <t>0</t>
  </si>
  <si>
    <t>N</t>
  </si>
  <si>
    <t>Jon Viljar Porserud Norvik</t>
  </si>
  <si>
    <t>Ja</t>
  </si>
  <si>
    <t>cm6q6lexy000l7001lror7oag</t>
  </si>
  <si>
    <t>Påmeldt</t>
  </si>
  <si>
    <t>04.02.2025</t>
  </si>
  <si>
    <t>08:52</t>
  </si>
  <si>
    <t>Ikke sjekket inn</t>
  </si>
  <si>
    <t>Betaling nr: 1 (PAID) Beløp: 0,-</t>
  </si>
  <si>
    <t>135590552</t>
  </si>
  <si>
    <t>8275269</t>
  </si>
  <si>
    <t>Nei</t>
  </si>
  <si>
    <t>Høyde</t>
  </si>
  <si>
    <t>Kule</t>
  </si>
  <si>
    <t>Samuel Helmer Porserud</t>
  </si>
  <si>
    <t>17.05.2018</t>
  </si>
  <si>
    <t>6 år</t>
  </si>
  <si>
    <t>000000000</t>
  </si>
  <si>
    <t>9826897</t>
  </si>
  <si>
    <t>Tiril</t>
  </si>
  <si>
    <t>Byrkjeland</t>
  </si>
  <si>
    <t>bar-mart@online.no</t>
  </si>
  <si>
    <t>24.01.2014</t>
  </si>
  <si>
    <t>11 år</t>
  </si>
  <si>
    <t>+4748115054</t>
  </si>
  <si>
    <t>K</t>
  </si>
  <si>
    <t>Jenter 11</t>
  </si>
  <si>
    <t>Frode Byrkjeland</t>
  </si>
  <si>
    <t>frodebyrkjeland25@gmail.com</t>
  </si>
  <si>
    <t>cm6r1rx7n02h69o01ixsjs4vr</t>
  </si>
  <si>
    <t>23:26</t>
  </si>
  <si>
    <t>139233290</t>
  </si>
  <si>
    <t>9410734</t>
  </si>
  <si>
    <t>600 meter</t>
  </si>
  <si>
    <t xml:space="preserve">Ola </t>
  </si>
  <si>
    <t>Kuttner</t>
  </si>
  <si>
    <t>samuel.kuttner@gmail.com</t>
  </si>
  <si>
    <t>01.01.2015</t>
  </si>
  <si>
    <t>10 år</t>
  </si>
  <si>
    <t>+4741087110</t>
  </si>
  <si>
    <t>Samuel Kuttner</t>
  </si>
  <si>
    <t>cm6vdwsxl01xkco011ypzcepo</t>
  </si>
  <si>
    <t>08.02.2025</t>
  </si>
  <si>
    <t>00:16</t>
  </si>
  <si>
    <t>7838327</t>
  </si>
  <si>
    <t>Ingeborg Andreassen</t>
  </si>
  <si>
    <t>Kjoshaug</t>
  </si>
  <si>
    <t>stinempe@gmail.com</t>
  </si>
  <si>
    <t>22.11.2014</t>
  </si>
  <si>
    <t>+4792613413</t>
  </si>
  <si>
    <t>Arthur Andreassen</t>
  </si>
  <si>
    <t>andreassen.arthur@gmail.com</t>
  </si>
  <si>
    <t>cm6y1al6l09abfk01hfrjfcte</t>
  </si>
  <si>
    <t>09.02.2025</t>
  </si>
  <si>
    <t>20:46</t>
  </si>
  <si>
    <t>144151180</t>
  </si>
  <si>
    <t>9303157</t>
  </si>
  <si>
    <t>Marte Thinn</t>
  </si>
  <si>
    <t>Hatlen</t>
  </si>
  <si>
    <t>aashildthinn@gmail.com</t>
  </si>
  <si>
    <t>12.02.2015</t>
  </si>
  <si>
    <t>+4793840774</t>
  </si>
  <si>
    <t>Jenter 10</t>
  </si>
  <si>
    <t>Marte Thinn Hatlen</t>
  </si>
  <si>
    <t>cm6zcljl101p89k01tmsfry88</t>
  </si>
  <si>
    <t>10.02.2025</t>
  </si>
  <si>
    <t>18:50</t>
  </si>
  <si>
    <t>138267174</t>
  </si>
  <si>
    <t>7763360</t>
  </si>
  <si>
    <t>Karl Christian</t>
  </si>
  <si>
    <t>Kvistad-Thomassen</t>
  </si>
  <si>
    <t>karlm_t@hotmail.com</t>
  </si>
  <si>
    <t>02.05.2018</t>
  </si>
  <si>
    <t>+4793262780</t>
  </si>
  <si>
    <t>Karl Martin Thomassen</t>
  </si>
  <si>
    <t>cm71wj2iw096udw013fmpxhh4</t>
  </si>
  <si>
    <t>12.02.2025</t>
  </si>
  <si>
    <t>13:44</t>
  </si>
  <si>
    <t>10235269</t>
  </si>
  <si>
    <t>Elsa Mækelæ</t>
  </si>
  <si>
    <t>Lindblad</t>
  </si>
  <si>
    <t>elsa.m.lindblad@icloud.com</t>
  </si>
  <si>
    <t>17.01.2011</t>
  </si>
  <si>
    <t>14 år</t>
  </si>
  <si>
    <t>+4794971390</t>
  </si>
  <si>
    <t>Lengde</t>
  </si>
  <si>
    <t>Jenter 14</t>
  </si>
  <si>
    <t>J</t>
  </si>
  <si>
    <t>201809</t>
  </si>
  <si>
    <t>Martin Mækelæ Lindblad</t>
  </si>
  <si>
    <t>martin-lindblad@hotmail.com</t>
  </si>
  <si>
    <t>cm72csnp103ibc301089nlu8y</t>
  </si>
  <si>
    <t>21:19</t>
  </si>
  <si>
    <t>144479219</t>
  </si>
  <si>
    <t>8878122</t>
  </si>
  <si>
    <t>Lea Johansen</t>
  </si>
  <si>
    <t>Maisenhølder</t>
  </si>
  <si>
    <t>goerilj@hotmail.com</t>
  </si>
  <si>
    <t>22.07.2014</t>
  </si>
  <si>
    <t>+4748147944</t>
  </si>
  <si>
    <t>Gøril Johansen</t>
  </si>
  <si>
    <t>cm74dsal404y8ab014iloqt6g</t>
  </si>
  <si>
    <t>14.02.2025</t>
  </si>
  <si>
    <t>07:22</t>
  </si>
  <si>
    <t>9774141</t>
  </si>
  <si>
    <t>Robert</t>
  </si>
  <si>
    <t>Hennoch</t>
  </si>
  <si>
    <t>sheilahennoch@hotmail.com</t>
  </si>
  <si>
    <t>Estland</t>
  </si>
  <si>
    <t>EST</t>
  </si>
  <si>
    <t>06.06.2017</t>
  </si>
  <si>
    <t>7 år</t>
  </si>
  <si>
    <t>+4748044676</t>
  </si>
  <si>
    <t>Sheila Hennoch</t>
  </si>
  <si>
    <t>cm74jqbjb05an7x01irp6xwpq</t>
  </si>
  <si>
    <t>10:08</t>
  </si>
  <si>
    <t>9779787</t>
  </si>
  <si>
    <t>Magnus Somying</t>
  </si>
  <si>
    <t>Olsen</t>
  </si>
  <si>
    <t>olsoma09@gmail.com</t>
  </si>
  <si>
    <t>03.06.2009</t>
  </si>
  <si>
    <t>15 år</t>
  </si>
  <si>
    <t>+4795528655</t>
  </si>
  <si>
    <t>Gutter 16</t>
  </si>
  <si>
    <t>201037</t>
  </si>
  <si>
    <t>Magnus Somying Olsen</t>
  </si>
  <si>
    <t>cm77tyfge0eo2ab01m7azk0ji</t>
  </si>
  <si>
    <t>16.02.2025</t>
  </si>
  <si>
    <t>17:18</t>
  </si>
  <si>
    <t>130509680</t>
  </si>
  <si>
    <t>8273202</t>
  </si>
  <si>
    <t>Filip</t>
  </si>
  <si>
    <t>Flaa</t>
  </si>
  <si>
    <t>seijampedersen@gmail.com</t>
  </si>
  <si>
    <t>18.12.2014</t>
  </si>
  <si>
    <t>+4747647319</t>
  </si>
  <si>
    <t>Gutter 11</t>
  </si>
  <si>
    <t>Seija Maria Pedersen</t>
  </si>
  <si>
    <t>cm77uqhnu0eu77x01mi1kll61</t>
  </si>
  <si>
    <t>17:41</t>
  </si>
  <si>
    <t>9820932</t>
  </si>
  <si>
    <t>Jakob</t>
  </si>
  <si>
    <t>28.03.2016</t>
  </si>
  <si>
    <t>9977934</t>
  </si>
  <si>
    <t xml:space="preserve">Einar </t>
  </si>
  <si>
    <t>Hallanger</t>
  </si>
  <si>
    <t>audunp@gmail.com</t>
  </si>
  <si>
    <t>30.12.2013</t>
  </si>
  <si>
    <t>+4745454690</t>
  </si>
  <si>
    <t>Gutter 12</t>
  </si>
  <si>
    <t>Audun Pedersen</t>
  </si>
  <si>
    <t>cm77v0wo60evw7x01rb9587rm</t>
  </si>
  <si>
    <t>17:48</t>
  </si>
  <si>
    <t>9652656</t>
  </si>
  <si>
    <t>Aurora Molund</t>
  </si>
  <si>
    <t>Tangen</t>
  </si>
  <si>
    <t>aurora.molund.tangen@icloud.com</t>
  </si>
  <si>
    <t>13.07.2009</t>
  </si>
  <si>
    <t>+4791004024</t>
  </si>
  <si>
    <t>Jenter 16</t>
  </si>
  <si>
    <t>201546</t>
  </si>
  <si>
    <t>Brita Fagernes Molund</t>
  </si>
  <si>
    <t>britafm@yahoo.com</t>
  </si>
  <si>
    <t>cm77yc30j0fmt7x01l4sustj3</t>
  </si>
  <si>
    <t>19:22</t>
  </si>
  <si>
    <t>133032235</t>
  </si>
  <si>
    <t>6980701</t>
  </si>
  <si>
    <t>Leonard Aleksander</t>
  </si>
  <si>
    <t>Hausner</t>
  </si>
  <si>
    <t>leohau12009@gmail.com</t>
  </si>
  <si>
    <t>20.07.2009</t>
  </si>
  <si>
    <t>+4748436334</t>
  </si>
  <si>
    <t>202097</t>
  </si>
  <si>
    <t>Karianne Guttormsen Olsen</t>
  </si>
  <si>
    <t>karianne.olsen@hotmail.com</t>
  </si>
  <si>
    <t>cm77ygc5n0fno7x01sngfeiqn</t>
  </si>
  <si>
    <t>19:27</t>
  </si>
  <si>
    <t>139230114</t>
  </si>
  <si>
    <t>7118250</t>
  </si>
  <si>
    <t>Kolbjørn</t>
  </si>
  <si>
    <t>Baade</t>
  </si>
  <si>
    <t>lranveig@gmail.com</t>
  </si>
  <si>
    <t>15.05.2011</t>
  </si>
  <si>
    <t>13 år</t>
  </si>
  <si>
    <t>+4793042802</t>
  </si>
  <si>
    <t>Gutter 14</t>
  </si>
  <si>
    <t>198689</t>
  </si>
  <si>
    <t>Kolbjørn Baade</t>
  </si>
  <si>
    <t>cm77yhzy00fo77x01l5bjjvvw</t>
  </si>
  <si>
    <t>19:26</t>
  </si>
  <si>
    <t>135475176</t>
  </si>
  <si>
    <t>8192558</t>
  </si>
  <si>
    <t>Noomi Linnea</t>
  </si>
  <si>
    <t>kimols1@gmail.com</t>
  </si>
  <si>
    <t>14.04.2018</t>
  </si>
  <si>
    <t>+4791882048</t>
  </si>
  <si>
    <t>Kim Olsen</t>
  </si>
  <si>
    <t>cm783auu90gzxab01qj82hf0j</t>
  </si>
  <si>
    <t>21:40</t>
  </si>
  <si>
    <t>9623729</t>
  </si>
  <si>
    <t>Sara Filippa Degerstrøm</t>
  </si>
  <si>
    <t>Stenvold</t>
  </si>
  <si>
    <t>tinedegerstrom@hotmail.com</t>
  </si>
  <si>
    <t>26.01.2014</t>
  </si>
  <si>
    <t>+4791838356</t>
  </si>
  <si>
    <t>Tine Degerstrøm Stenvold</t>
  </si>
  <si>
    <t>cm79g8s0t000oa301tqe9us7e</t>
  </si>
  <si>
    <t>17.02.2025</t>
  </si>
  <si>
    <t>20:30</t>
  </si>
  <si>
    <t>10173084</t>
  </si>
  <si>
    <t>Theo</t>
  </si>
  <si>
    <t>Høgstad</t>
  </si>
  <si>
    <t>Aina.hogstad@live.no</t>
  </si>
  <si>
    <t>16.02.2009</t>
  </si>
  <si>
    <t>16 år</t>
  </si>
  <si>
    <t>+4792355441</t>
  </si>
  <si>
    <t>201833</t>
  </si>
  <si>
    <t>Theo Høgstad</t>
  </si>
  <si>
    <t>cm79lqbqi03t9b901zah9qqi5</t>
  </si>
  <si>
    <t>23:04</t>
  </si>
  <si>
    <t>144985744</t>
  </si>
  <si>
    <t>6418891</t>
  </si>
  <si>
    <t xml:space="preserve">JOHANNE ELINE </t>
  </si>
  <si>
    <t>PETTERSEN-VIK</t>
  </si>
  <si>
    <t>jorgen_vik@hotmail.com</t>
  </si>
  <si>
    <t>11.06.2015</t>
  </si>
  <si>
    <t>9 år</t>
  </si>
  <si>
    <t>+4791836269</t>
  </si>
  <si>
    <t>Jørgen Vik</t>
  </si>
  <si>
    <t>cm7bow2lc00iabr01m1ne0xm1</t>
  </si>
  <si>
    <t>19.02.2025</t>
  </si>
  <si>
    <t>10:17</t>
  </si>
  <si>
    <t>10217142</t>
  </si>
  <si>
    <t>Julianne Allern</t>
  </si>
  <si>
    <t>Brose</t>
  </si>
  <si>
    <t>anja.brose@gmail.com</t>
  </si>
  <si>
    <t>25.05.2011</t>
  </si>
  <si>
    <t>+4799701370</t>
  </si>
  <si>
    <t>201709</t>
  </si>
  <si>
    <t>Anja Allern Brose</t>
  </si>
  <si>
    <t>cm7bq36co00mdbr011r4pgltn</t>
  </si>
  <si>
    <t>10:43</t>
  </si>
  <si>
    <t>7821056</t>
  </si>
  <si>
    <t>Tilde Edvardsen</t>
  </si>
  <si>
    <t>Mosli</t>
  </si>
  <si>
    <t>stmosli@yahoo.no</t>
  </si>
  <si>
    <t>11.09.2008</t>
  </si>
  <si>
    <t>+4790882271</t>
  </si>
  <si>
    <t>Jenter 17</t>
  </si>
  <si>
    <t>196985</t>
  </si>
  <si>
    <t>Stian Mosli</t>
  </si>
  <si>
    <t>cm7cbogjw024ebi0148wjdgbn</t>
  </si>
  <si>
    <t>8581676</t>
  </si>
  <si>
    <t>Rage Aw Abdi</t>
  </si>
  <si>
    <t>Grytås</t>
  </si>
  <si>
    <t>ingeborg.taga.grytas@gmail.com</t>
  </si>
  <si>
    <t>14.09.2017</t>
  </si>
  <si>
    <t>99240587</t>
  </si>
  <si>
    <t>Sveinung Viggo Olsen</t>
  </si>
  <si>
    <t>olsensv@gmail.com</t>
  </si>
  <si>
    <t>cm7d1sh4z03ire301q8hrx6ns</t>
  </si>
  <si>
    <t>20.02.2025</t>
  </si>
  <si>
    <t>08:57</t>
  </si>
  <si>
    <t>10028204</t>
  </si>
  <si>
    <t>Ava</t>
  </si>
  <si>
    <t>Fremnesvik</t>
  </si>
  <si>
    <t>stig@norfra.no</t>
  </si>
  <si>
    <t>31.03.2013</t>
  </si>
  <si>
    <t>+4791563883</t>
  </si>
  <si>
    <t>Jenter 12</t>
  </si>
  <si>
    <t>Stig Fremnesvik</t>
  </si>
  <si>
    <t>cm7dqvr1o01l2bi01ploi7wq7</t>
  </si>
  <si>
    <t>20:39</t>
  </si>
  <si>
    <t>9120755</t>
  </si>
  <si>
    <t>Tuva Boardman</t>
  </si>
  <si>
    <t>Aarsæther</t>
  </si>
  <si>
    <t>neomboa@yahoo.com</t>
  </si>
  <si>
    <t>13.04.2012</t>
  </si>
  <si>
    <t>12 år</t>
  </si>
  <si>
    <t>+4793457297</t>
  </si>
  <si>
    <t>Jenter 13</t>
  </si>
  <si>
    <t>54377</t>
  </si>
  <si>
    <t>Neoma Tove Boardman</t>
  </si>
  <si>
    <t>30797785527</t>
  </si>
  <si>
    <t>cm7duhewr02exba01ohgv0vsn</t>
  </si>
  <si>
    <t>22:28</t>
  </si>
  <si>
    <t>9175718</t>
  </si>
  <si>
    <t>Jonas Boardman</t>
  </si>
  <si>
    <t>jonas_aarsaether@icloud.com</t>
  </si>
  <si>
    <t>15.06.2009</t>
  </si>
  <si>
    <t>+4741311114</t>
  </si>
  <si>
    <t>201905</t>
  </si>
  <si>
    <t>cm7duwfn702fze301m0apx38m</t>
  </si>
  <si>
    <t>22:31</t>
  </si>
  <si>
    <t>148046048</t>
  </si>
  <si>
    <t>6136059</t>
  </si>
  <si>
    <t>Ane</t>
  </si>
  <si>
    <t>Børve-Jensen</t>
  </si>
  <si>
    <t>torfinnjensen@aim.com</t>
  </si>
  <si>
    <t>09.07.2012</t>
  </si>
  <si>
    <t>+4741103389</t>
  </si>
  <si>
    <t>199121</t>
  </si>
  <si>
    <t>Torfinn Jensen</t>
  </si>
  <si>
    <t>cm7ee8q6202xqba017mvcdfdh</t>
  </si>
  <si>
    <t>21.02.2025</t>
  </si>
  <si>
    <t>07:32</t>
  </si>
  <si>
    <t>7582469</t>
  </si>
  <si>
    <t>Audun</t>
  </si>
  <si>
    <t>10.02.2010</t>
  </si>
  <si>
    <t>Gutter 15</t>
  </si>
  <si>
    <t>199117</t>
  </si>
  <si>
    <t>cm7ee9p2l02xsba01s761r6ro</t>
  </si>
  <si>
    <t>07:35</t>
  </si>
  <si>
    <t>8744251</t>
  </si>
  <si>
    <t>Mathias Nordheim</t>
  </si>
  <si>
    <t>Olaisen</t>
  </si>
  <si>
    <t>benedikte.olaisen@hotmail.com</t>
  </si>
  <si>
    <t>29.05.2011</t>
  </si>
  <si>
    <t>+4791113710</t>
  </si>
  <si>
    <t>54765</t>
  </si>
  <si>
    <t>Benedikte Ingrid Bjølgerud Olaisen</t>
  </si>
  <si>
    <t>30815741531</t>
  </si>
  <si>
    <t>cm7fbvk8n01hmgg014hb9vohw</t>
  </si>
  <si>
    <t>23:19</t>
  </si>
  <si>
    <t>132699356</t>
  </si>
  <si>
    <t>8159534</t>
  </si>
  <si>
    <t>Unda</t>
  </si>
  <si>
    <t>Pilskalliete</t>
  </si>
  <si>
    <t>sandors.pilskallietis@gmail.com</t>
  </si>
  <si>
    <t>Latvia</t>
  </si>
  <si>
    <t>LAT</t>
  </si>
  <si>
    <t>03.06.2014</t>
  </si>
  <si>
    <t>41250887</t>
  </si>
  <si>
    <t>cm7fvy5bd01lfe2013rhvo6iw</t>
  </si>
  <si>
    <t>22.02.2025</t>
  </si>
  <si>
    <t>08:37</t>
  </si>
  <si>
    <t>10257085</t>
  </si>
  <si>
    <t>Ludvig Norbakken</t>
  </si>
  <si>
    <t>Granslo</t>
  </si>
  <si>
    <t>Ludvigngranslo@gmail.com</t>
  </si>
  <si>
    <t>22.04.2015</t>
  </si>
  <si>
    <t>91783083</t>
  </si>
  <si>
    <t>Åsmund Grammeltvedt</t>
  </si>
  <si>
    <t>asmundg@big-oil.org</t>
  </si>
  <si>
    <t>cm7gfj9nm02zbgg01jhzcr3nu</t>
  </si>
  <si>
    <t>17:44</t>
  </si>
  <si>
    <t>132696840</t>
  </si>
  <si>
    <t>7529115</t>
  </si>
  <si>
    <t>Ingeborg Norbakken</t>
  </si>
  <si>
    <t>hildegunn.granslo@gmail.com</t>
  </si>
  <si>
    <t>05.03.2012</t>
  </si>
  <si>
    <t>cm7gfl4n002yce201ctg6285n</t>
  </si>
  <si>
    <t>17:46</t>
  </si>
  <si>
    <t>132644576</t>
  </si>
  <si>
    <t>6988008</t>
  </si>
  <si>
    <t>1500 meter</t>
  </si>
  <si>
    <t>Marinius</t>
  </si>
  <si>
    <t>Aasen</t>
  </si>
  <si>
    <t>larsmikalaasen@gmail.com</t>
  </si>
  <si>
    <t>01.07.2018</t>
  </si>
  <si>
    <t>95105998</t>
  </si>
  <si>
    <t>cm7gfnqbw031uec012msk0bbv</t>
  </si>
  <si>
    <t>17:50</t>
  </si>
  <si>
    <t>10213448</t>
  </si>
  <si>
    <t>Nikoline</t>
  </si>
  <si>
    <t>12.06.2016</t>
  </si>
  <si>
    <t>cm7gft304032mec0196ol7s2a</t>
  </si>
  <si>
    <t>17:53</t>
  </si>
  <si>
    <t>10213446</t>
  </si>
  <si>
    <t> </t>
  </si>
  <si>
    <t>60 meter hekk</t>
  </si>
  <si>
    <t>80 meter hekk</t>
  </si>
  <si>
    <t>100 meter hekk</t>
  </si>
  <si>
    <t>110 meter hekk</t>
  </si>
  <si>
    <t>200 meter hekk</t>
  </si>
  <si>
    <t>300 meter hekk</t>
  </si>
  <si>
    <t>400 meter hekk</t>
  </si>
  <si>
    <t>60 meter</t>
  </si>
  <si>
    <t>100 meter</t>
  </si>
  <si>
    <t>200 meter</t>
  </si>
  <si>
    <t>400 meter</t>
  </si>
  <si>
    <t>800 meter</t>
  </si>
  <si>
    <t>3000 meter</t>
  </si>
  <si>
    <t>5000 meter</t>
  </si>
  <si>
    <t>Tresteg</t>
  </si>
  <si>
    <t>Stav</t>
  </si>
  <si>
    <t>Liten ball</t>
  </si>
  <si>
    <t>Slegge</t>
  </si>
  <si>
    <t>Diskos</t>
  </si>
  <si>
    <t>Spyd</t>
  </si>
  <si>
    <t>FIFA</t>
  </si>
  <si>
    <t>Gutter 13</t>
  </si>
  <si>
    <t>Gutter 17</t>
  </si>
  <si>
    <t>Gutter 18-19</t>
  </si>
  <si>
    <t>Jenter 15</t>
  </si>
  <si>
    <t>Jenter 18-19</t>
  </si>
  <si>
    <t>Kvinner Senior</t>
  </si>
  <si>
    <t>Menn senior</t>
  </si>
  <si>
    <t>SUM</t>
  </si>
  <si>
    <t>Tidsplan</t>
  </si>
  <si>
    <t>Seriestevne-2- Tromsøhallen - Mandag 24.02.2025</t>
  </si>
  <si>
    <t>Antall utøvere i de ulike klasser og øvelser</t>
  </si>
  <si>
    <t>Oppdatert:</t>
  </si>
  <si>
    <t>Ver 1.1</t>
  </si>
  <si>
    <t>LØP</t>
  </si>
  <si>
    <t>HOPP</t>
  </si>
  <si>
    <t>KAST</t>
  </si>
  <si>
    <t>60m</t>
  </si>
  <si>
    <t>300m</t>
  </si>
  <si>
    <t>600m</t>
  </si>
  <si>
    <t>1500m</t>
  </si>
  <si>
    <t>L.Ball</t>
  </si>
  <si>
    <t>60mhk</t>
  </si>
  <si>
    <t>80mhk</t>
  </si>
  <si>
    <t>100mhk</t>
  </si>
  <si>
    <t>110mhk</t>
  </si>
  <si>
    <t>200mhk</t>
  </si>
  <si>
    <t>300mhk</t>
  </si>
  <si>
    <t>400mhk</t>
  </si>
  <si>
    <t>100m</t>
  </si>
  <si>
    <t>200m</t>
  </si>
  <si>
    <t>400m</t>
  </si>
  <si>
    <t>800m</t>
  </si>
  <si>
    <t>3000m</t>
  </si>
  <si>
    <t>5000m</t>
  </si>
  <si>
    <t>Merknader</t>
  </si>
  <si>
    <t>Hekk</t>
  </si>
  <si>
    <t>Sør</t>
  </si>
  <si>
    <t>Nord</t>
  </si>
  <si>
    <t>Antall starter</t>
  </si>
  <si>
    <t>Fargekoder</t>
  </si>
  <si>
    <t>G-Rekrutt</t>
  </si>
  <si>
    <t>G-rekrutt</t>
  </si>
  <si>
    <t>G-11</t>
  </si>
  <si>
    <t>G-rekrutt   8</t>
  </si>
  <si>
    <t>J13 2</t>
  </si>
  <si>
    <t>G11 / G12</t>
  </si>
  <si>
    <t>J11 / J12</t>
  </si>
  <si>
    <t>G-12</t>
  </si>
  <si>
    <t>(3 forsøk)</t>
  </si>
  <si>
    <t>J-rekrutt   4</t>
  </si>
  <si>
    <t>(4 forsøk)</t>
  </si>
  <si>
    <t>1+1</t>
  </si>
  <si>
    <t>5 + 1</t>
  </si>
  <si>
    <t>G-13</t>
  </si>
  <si>
    <t>G16</t>
  </si>
  <si>
    <t>G14 / J14</t>
  </si>
  <si>
    <t>G-14</t>
  </si>
  <si>
    <t>J-rekrutt</t>
  </si>
  <si>
    <t>1 + 2</t>
  </si>
  <si>
    <t>G-15</t>
  </si>
  <si>
    <t>J16</t>
  </si>
  <si>
    <t>G-16</t>
  </si>
  <si>
    <t>G15 / G16</t>
  </si>
  <si>
    <t xml:space="preserve">J-rekrutt </t>
  </si>
  <si>
    <t>G-17</t>
  </si>
  <si>
    <t>J16 / J17</t>
  </si>
  <si>
    <t>G-18-19</t>
  </si>
  <si>
    <t>1 + 1</t>
  </si>
  <si>
    <t>1 + 4 + 1 + 1</t>
  </si>
  <si>
    <t>J-Rekrutt</t>
  </si>
  <si>
    <t>J13 / J14</t>
  </si>
  <si>
    <t>(6 forsøk)</t>
  </si>
  <si>
    <t>J-11</t>
  </si>
  <si>
    <t>J-12</t>
  </si>
  <si>
    <t>G13 / G14</t>
  </si>
  <si>
    <t>J11</t>
  </si>
  <si>
    <t>J-13</t>
  </si>
  <si>
    <t>J-14</t>
  </si>
  <si>
    <t>G14</t>
  </si>
  <si>
    <t>J-15</t>
  </si>
  <si>
    <t>J11 + J12</t>
  </si>
  <si>
    <t xml:space="preserve">G-rekrutt </t>
  </si>
  <si>
    <t>J-16</t>
  </si>
  <si>
    <t>J13</t>
  </si>
  <si>
    <t>G16 / J17</t>
  </si>
  <si>
    <t>J-17</t>
  </si>
  <si>
    <t>3 + 1</t>
  </si>
  <si>
    <t>J-18-19</t>
  </si>
  <si>
    <t>(3forsøk)</t>
  </si>
  <si>
    <t>FIFA (Stafett)</t>
  </si>
  <si>
    <t>KS</t>
  </si>
  <si>
    <t>MS</t>
  </si>
  <si>
    <t>G14 / J13 / J14</t>
  </si>
  <si>
    <t>1 + 3 + 2</t>
  </si>
  <si>
    <t xml:space="preserve">FIFA </t>
  </si>
  <si>
    <t>Tidsbruk</t>
  </si>
  <si>
    <t>Hor Hopp</t>
  </si>
  <si>
    <t>Kast</t>
  </si>
  <si>
    <t>G15 +</t>
  </si>
  <si>
    <t>Opprydding</t>
  </si>
  <si>
    <t>UTE AV HALLEN</t>
  </si>
  <si>
    <t>J15 +</t>
  </si>
  <si>
    <t>Arrangørhåndbok</t>
  </si>
  <si>
    <t>Dommer/funksjonærteam</t>
  </si>
  <si>
    <t>Tid/forsøk</t>
  </si>
  <si>
    <t>Forsøk</t>
  </si>
  <si>
    <t>Team 1</t>
  </si>
  <si>
    <t>Løp</t>
  </si>
  <si>
    <t>Kast:</t>
  </si>
  <si>
    <t>Team 2</t>
  </si>
  <si>
    <t>Lengde/Kule rekrutt</t>
  </si>
  <si>
    <t>Lengde/tresteg:</t>
  </si>
  <si>
    <t>Team 3</t>
  </si>
  <si>
    <t>G11 / G12 /G13 / G14</t>
  </si>
  <si>
    <t>Høyde:</t>
  </si>
  <si>
    <t>Team 4</t>
  </si>
  <si>
    <t>Kule 1</t>
  </si>
  <si>
    <t>G-18/19</t>
  </si>
  <si>
    <t>Stav:</t>
  </si>
  <si>
    <t>J11 / J12 / J13 / J14</t>
  </si>
  <si>
    <t>G11 / G12 / J11 / J12</t>
  </si>
  <si>
    <t>J-18/19</t>
  </si>
  <si>
    <t>G15+ /J15+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</si>
</sst>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b/>
      <sz val="1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Arial"/>
      <family val="2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  <scheme val="minor"/>
    </font>
    <font>
      <sz val="11"/>
      <color indexed="8"/>
      <name val="Arial"/>
      <family val="2"/>
    </font>
    <font>
      <b/>
      <sz val="12"/>
      <color rgb="FFFF000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FF505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auto="1"/>
      </patternFill>
    </fill>
    <fill>
      <gradientFill>
        <stop position="0">
          <color rgb="FF808000"/>
        </stop>
        <stop position="1">
          <color rgb="FF66FF66"/>
        </stop>
      </gradientFill>
    </fill>
    <fill>
      <patternFill patternType="solid">
        <fgColor rgb="FFFF66FF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92D050"/>
        <bgColor indexed="64"/>
      </patternFill>
    </fill>
    <fill>
      <gradientFill>
        <stop position="0">
          <color rgb="FF66FFFF"/>
        </stop>
        <stop position="1">
          <color rgb="FF3399FF"/>
        </stop>
      </gradientFill>
    </fill>
    <fill>
      <gradientFill>
        <stop position="0">
          <color rgb="FFFF66FF"/>
        </stop>
        <stop position="1">
          <color rgb="FFFF0000"/>
        </stop>
      </gradientFill>
    </fill>
    <fill>
      <gradientFill>
        <stop position="0">
          <color rgb="FF66FFFF"/>
        </stop>
        <stop position="1">
          <color rgb="FFFF66FF"/>
        </stop>
      </gradientFill>
    </fill>
    <fill>
      <gradientFill>
        <stop position="0">
          <color theme="4"/>
        </stop>
        <stop position="1">
          <color rgb="FFFF0000"/>
        </stop>
      </gradient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9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5" fillId="0" borderId="0" xfId="0" applyFont="1"/>
    <xf numFmtId="0" fontId="6" fillId="0" borderId="0" xfId="0" applyFont="1" applyAlignment="1">
      <alignment readingOrder="1"/>
    </xf>
    <xf numFmtId="0" fontId="7" fillId="0" borderId="0" xfId="0" applyFont="1"/>
    <xf numFmtId="0" fontId="7" fillId="0" borderId="2" xfId="0" applyFont="1" applyBorder="1"/>
    <xf numFmtId="0" fontId="7" fillId="0" borderId="1" xfId="0" applyFont="1" applyBorder="1"/>
    <xf numFmtId="0" fontId="6" fillId="0" borderId="2" xfId="0" applyFont="1" applyBorder="1"/>
    <xf numFmtId="0" fontId="5" fillId="0" borderId="5" xfId="0" applyFont="1" applyBorder="1"/>
    <xf numFmtId="0" fontId="8" fillId="0" borderId="0" xfId="0" applyFont="1"/>
    <xf numFmtId="0" fontId="9" fillId="0" borderId="0" xfId="0" applyFont="1"/>
    <xf numFmtId="0" fontId="10" fillId="0" borderId="6" xfId="0" applyFont="1" applyBorder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2" fillId="0" borderId="7" xfId="0" applyFont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15" fillId="2" borderId="9" xfId="0" applyFont="1" applyFill="1" applyBorder="1"/>
    <xf numFmtId="0" fontId="15" fillId="2" borderId="10" xfId="0" applyFont="1" applyFill="1" applyBorder="1"/>
    <xf numFmtId="0" fontId="0" fillId="0" borderId="7" xfId="0" applyBorder="1" applyAlignment="1">
      <alignment horizontal="center"/>
    </xf>
    <xf numFmtId="0" fontId="4" fillId="0" borderId="0" xfId="0" applyFont="1" applyAlignment="1">
      <alignment horizontal="center"/>
    </xf>
    <xf numFmtId="0" fontId="12" fillId="0" borderId="11" xfId="0" applyFont="1" applyBorder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0" fillId="0" borderId="0" xfId="0" applyAlignment="1">
      <alignment horizontal="left"/>
    </xf>
    <xf numFmtId="0" fontId="12" fillId="0" borderId="3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16" fillId="3" borderId="0" xfId="0" applyFont="1" applyFill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9" fillId="4" borderId="0" xfId="0" applyFont="1" applyFill="1" applyAlignment="1">
      <alignment horizontal="left"/>
    </xf>
    <xf numFmtId="0" fontId="12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/>
    </xf>
    <xf numFmtId="20" fontId="12" fillId="0" borderId="14" xfId="0" applyNumberFormat="1" applyFont="1" applyBorder="1" applyAlignment="1">
      <alignment horizontal="center"/>
    </xf>
    <xf numFmtId="0" fontId="21" fillId="0" borderId="15" xfId="0" applyFont="1" applyBorder="1" applyAlignment="1">
      <alignment vertical="center"/>
    </xf>
    <xf numFmtId="0" fontId="21" fillId="0" borderId="16" xfId="0" applyFont="1" applyBorder="1" applyAlignment="1">
      <alignment vertical="center"/>
    </xf>
    <xf numFmtId="0" fontId="22" fillId="0" borderId="1" xfId="0" applyFont="1" applyBorder="1" applyAlignment="1">
      <alignment horizontal="left"/>
    </xf>
    <xf numFmtId="0" fontId="23" fillId="0" borderId="13" xfId="0" applyFont="1" applyBorder="1" applyAlignment="1">
      <alignment horizontal="right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20" fontId="12" fillId="0" borderId="17" xfId="0" applyNumberFormat="1" applyFont="1" applyBorder="1" applyAlignment="1">
      <alignment horizontal="center"/>
    </xf>
    <xf numFmtId="0" fontId="21" fillId="0" borderId="0" xfId="0" applyFont="1" applyAlignment="1">
      <alignment vertical="center"/>
    </xf>
    <xf numFmtId="0" fontId="21" fillId="0" borderId="18" xfId="0" applyFont="1" applyBorder="1" applyAlignment="1">
      <alignment vertical="center"/>
    </xf>
    <xf numFmtId="0" fontId="22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2" fillId="6" borderId="7" xfId="0" applyFont="1" applyFill="1" applyBorder="1" applyAlignment="1">
      <alignment horizontal="center"/>
    </xf>
    <xf numFmtId="0" fontId="21" fillId="0" borderId="1" xfId="0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12" fillId="6" borderId="11" xfId="0" applyFont="1" applyFill="1" applyBorder="1" applyAlignment="1">
      <alignment horizontal="center"/>
    </xf>
    <xf numFmtId="0" fontId="12" fillId="0" borderId="19" xfId="0" applyFont="1" applyBorder="1" applyAlignment="1">
      <alignment horizontal="left"/>
    </xf>
    <xf numFmtId="0" fontId="12" fillId="7" borderId="7" xfId="0" applyFont="1" applyFill="1" applyBorder="1" applyAlignment="1">
      <alignment horizontal="center"/>
    </xf>
    <xf numFmtId="0" fontId="12" fillId="0" borderId="21" xfId="0" applyFont="1" applyBorder="1"/>
    <xf numFmtId="0" fontId="12" fillId="0" borderId="22" xfId="0" applyFont="1" applyBorder="1"/>
    <xf numFmtId="0" fontId="12" fillId="0" borderId="23" xfId="0" applyFont="1" applyBorder="1"/>
    <xf numFmtId="0" fontId="12" fillId="7" borderId="11" xfId="0" applyFont="1" applyFill="1" applyBorder="1" applyAlignment="1">
      <alignment horizontal="center"/>
    </xf>
    <xf numFmtId="0" fontId="26" fillId="8" borderId="11" xfId="0" applyFont="1" applyFill="1" applyBorder="1" applyAlignment="1">
      <alignment horizontal="center"/>
    </xf>
    <xf numFmtId="0" fontId="24" fillId="0" borderId="0" xfId="0" quotePrefix="1" applyFont="1" applyAlignment="1">
      <alignment horizontal="left"/>
    </xf>
    <xf numFmtId="0" fontId="19" fillId="0" borderId="0" xfId="0" applyFont="1" applyAlignment="1">
      <alignment horizontal="left"/>
    </xf>
    <xf numFmtId="0" fontId="12" fillId="9" borderId="7" xfId="0" applyFont="1" applyFill="1" applyBorder="1" applyAlignment="1">
      <alignment horizontal="center"/>
    </xf>
    <xf numFmtId="0" fontId="12" fillId="9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3" fillId="0" borderId="13" xfId="0" applyFont="1" applyBorder="1" applyAlignment="1">
      <alignment horizontal="left"/>
    </xf>
    <xf numFmtId="0" fontId="26" fillId="11" borderId="7" xfId="0" applyFont="1" applyFill="1" applyBorder="1" applyAlignment="1">
      <alignment horizontal="center"/>
    </xf>
    <xf numFmtId="0" fontId="0" fillId="0" borderId="0" xfId="0" quotePrefix="1"/>
    <xf numFmtId="0" fontId="26" fillId="11" borderId="11" xfId="0" applyFont="1" applyFill="1" applyBorder="1" applyAlignment="1">
      <alignment horizontal="center"/>
    </xf>
    <xf numFmtId="0" fontId="12" fillId="10" borderId="7" xfId="0" applyFont="1" applyFill="1" applyBorder="1" applyAlignment="1">
      <alignment horizontal="center"/>
    </xf>
    <xf numFmtId="0" fontId="12" fillId="10" borderId="11" xfId="0" applyFont="1" applyFill="1" applyBorder="1" applyAlignment="1">
      <alignment horizontal="center"/>
    </xf>
    <xf numFmtId="0" fontId="26" fillId="10" borderId="11" xfId="0" applyFont="1" applyFill="1" applyBorder="1" applyAlignment="1">
      <alignment horizontal="center"/>
    </xf>
    <xf numFmtId="0" fontId="17" fillId="0" borderId="0" xfId="0" applyFont="1"/>
    <xf numFmtId="0" fontId="12" fillId="0" borderId="25" xfId="0" applyFont="1" applyBorder="1"/>
    <xf numFmtId="0" fontId="12" fillId="0" borderId="13" xfId="0" applyFont="1" applyBorder="1"/>
    <xf numFmtId="0" fontId="27" fillId="0" borderId="0" xfId="0" applyFont="1"/>
    <xf numFmtId="0" fontId="28" fillId="0" borderId="0" xfId="0" applyFont="1"/>
    <xf numFmtId="0" fontId="26" fillId="0" borderId="0" xfId="0" applyFont="1"/>
    <xf numFmtId="0" fontId="12" fillId="0" borderId="8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26" xfId="0" applyFont="1" applyBorder="1"/>
    <xf numFmtId="0" fontId="29" fillId="0" borderId="0" xfId="0" applyFont="1" applyAlignment="1">
      <alignment horizontal="left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30" fillId="0" borderId="12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30" fillId="0" borderId="16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26" fillId="12" borderId="7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30" fillId="0" borderId="13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0" fillId="0" borderId="18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19" fillId="0" borderId="18" xfId="0" applyFont="1" applyBorder="1" applyAlignment="1">
      <alignment horizontal="center"/>
    </xf>
    <xf numFmtId="0" fontId="26" fillId="12" borderId="11" xfId="0" applyFont="1" applyFill="1" applyBorder="1" applyAlignment="1">
      <alignment horizontal="center"/>
    </xf>
    <xf numFmtId="20" fontId="12" fillId="0" borderId="27" xfId="0" applyNumberFormat="1" applyFont="1" applyBorder="1" applyAlignment="1">
      <alignment horizontal="center"/>
    </xf>
    <xf numFmtId="20" fontId="12" fillId="0" borderId="28" xfId="0" applyNumberFormat="1" applyFont="1" applyBorder="1" applyAlignment="1">
      <alignment horizontal="center"/>
    </xf>
    <xf numFmtId="0" fontId="12" fillId="0" borderId="29" xfId="0" applyFont="1" applyBorder="1"/>
    <xf numFmtId="0" fontId="12" fillId="0" borderId="30" xfId="0" applyFont="1" applyBorder="1"/>
    <xf numFmtId="0" fontId="12" fillId="0" borderId="31" xfId="0" applyFont="1" applyBorder="1"/>
    <xf numFmtId="20" fontId="12" fillId="0" borderId="3" xfId="0" applyNumberFormat="1" applyFont="1" applyBorder="1" applyAlignment="1">
      <alignment horizontal="center"/>
    </xf>
    <xf numFmtId="20" fontId="12" fillId="0" borderId="0" xfId="0" applyNumberFormat="1" applyFont="1" applyAlignment="1">
      <alignment horizontal="center"/>
    </xf>
    <xf numFmtId="0" fontId="26" fillId="5" borderId="7" xfId="0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26" fillId="5" borderId="11" xfId="0" applyFont="1" applyFill="1" applyBorder="1" applyAlignment="1">
      <alignment horizontal="center"/>
    </xf>
    <xf numFmtId="0" fontId="32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34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12" fillId="14" borderId="7" xfId="0" applyFont="1" applyFill="1" applyBorder="1"/>
    <xf numFmtId="0" fontId="12" fillId="14" borderId="11" xfId="0" applyFont="1" applyFill="1" applyBorder="1"/>
    <xf numFmtId="0" fontId="12" fillId="0" borderId="1" xfId="0" applyFont="1" applyBorder="1"/>
    <xf numFmtId="0" fontId="35" fillId="0" borderId="0" xfId="0" applyFont="1"/>
    <xf numFmtId="0" fontId="12" fillId="15" borderId="7" xfId="0" applyFont="1" applyFill="1" applyBorder="1"/>
    <xf numFmtId="0" fontId="12" fillId="15" borderId="11" xfId="0" applyFont="1" applyFill="1" applyBorder="1"/>
    <xf numFmtId="0" fontId="26" fillId="16" borderId="7" xfId="0" applyFont="1" applyFill="1" applyBorder="1" applyAlignment="1">
      <alignment horizontal="center"/>
    </xf>
    <xf numFmtId="9" fontId="26" fillId="16" borderId="11" xfId="1" applyFont="1" applyFill="1" applyBorder="1" applyAlignment="1">
      <alignment horizontal="center"/>
    </xf>
    <xf numFmtId="0" fontId="12" fillId="17" borderId="7" xfId="0" applyFont="1" applyFill="1" applyBorder="1" applyAlignment="1">
      <alignment horizontal="center"/>
    </xf>
    <xf numFmtId="0" fontId="12" fillId="17" borderId="1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12" fillId="0" borderId="5" xfId="0" applyFont="1" applyBorder="1"/>
    <xf numFmtId="0" fontId="12" fillId="0" borderId="20" xfId="0" applyFont="1" applyBorder="1"/>
    <xf numFmtId="0" fontId="12" fillId="0" borderId="6" xfId="0" applyFont="1" applyBorder="1"/>
    <xf numFmtId="0" fontId="12" fillId="0" borderId="6" xfId="0" applyFont="1" applyBorder="1" applyAlignment="1">
      <alignment horizontal="left"/>
    </xf>
    <xf numFmtId="0" fontId="26" fillId="0" borderId="6" xfId="0" applyFont="1" applyBorder="1" applyAlignment="1">
      <alignment horizontal="left"/>
    </xf>
    <xf numFmtId="0" fontId="26" fillId="0" borderId="6" xfId="0" applyFont="1" applyBorder="1"/>
    <xf numFmtId="0" fontId="12" fillId="0" borderId="24" xfId="0" applyFont="1" applyBorder="1"/>
    <xf numFmtId="0" fontId="12" fillId="0" borderId="7" xfId="0" applyFont="1" applyBorder="1"/>
    <xf numFmtId="0" fontId="23" fillId="0" borderId="3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2" fillId="0" borderId="2" xfId="0" applyFont="1" applyBorder="1" applyAlignment="1">
      <alignment horizontal="left"/>
    </xf>
    <xf numFmtId="0" fontId="23" fillId="0" borderId="2" xfId="0" applyFont="1" applyBorder="1" applyAlignment="1">
      <alignment horizontal="right"/>
    </xf>
    <xf numFmtId="0" fontId="23" fillId="0" borderId="2" xfId="0" applyFont="1" applyBorder="1" applyAlignment="1">
      <alignment horizontal="center"/>
    </xf>
    <xf numFmtId="0" fontId="23" fillId="0" borderId="3" xfId="0" applyFont="1" applyBorder="1" applyAlignment="1">
      <alignment horizontal="right"/>
    </xf>
    <xf numFmtId="0" fontId="16" fillId="0" borderId="11" xfId="0" applyFont="1" applyBorder="1" applyAlignment="1">
      <alignment horizontal="center" vertical="center"/>
    </xf>
    <xf numFmtId="0" fontId="12" fillId="6" borderId="6" xfId="0" applyFont="1" applyFill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6" borderId="33" xfId="0" applyFont="1" applyFill="1" applyBorder="1" applyAlignment="1">
      <alignment horizontal="center"/>
    </xf>
    <xf numFmtId="0" fontId="12" fillId="6" borderId="34" xfId="0" applyFont="1" applyFill="1" applyBorder="1" applyAlignment="1">
      <alignment horizontal="center"/>
    </xf>
    <xf numFmtId="0" fontId="12" fillId="6" borderId="35" xfId="0" applyFont="1" applyFill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7" borderId="33" xfId="0" applyFont="1" applyFill="1" applyBorder="1" applyAlignment="1">
      <alignment horizontal="center"/>
    </xf>
    <xf numFmtId="0" fontId="12" fillId="7" borderId="35" xfId="0" applyFont="1" applyFill="1" applyBorder="1" applyAlignment="1">
      <alignment horizontal="center"/>
    </xf>
    <xf numFmtId="0" fontId="26" fillId="5" borderId="33" xfId="0" applyFont="1" applyFill="1" applyBorder="1" applyAlignment="1">
      <alignment horizontal="center"/>
    </xf>
    <xf numFmtId="0" fontId="26" fillId="5" borderId="34" xfId="0" applyFont="1" applyFill="1" applyBorder="1" applyAlignment="1">
      <alignment horizontal="center"/>
    </xf>
    <xf numFmtId="0" fontId="12" fillId="10" borderId="33" xfId="0" applyFont="1" applyFill="1" applyBorder="1" applyAlignment="1">
      <alignment horizontal="center"/>
    </xf>
    <xf numFmtId="0" fontId="12" fillId="10" borderId="35" xfId="0" applyFont="1" applyFill="1" applyBorder="1" applyAlignment="1">
      <alignment horizontal="center"/>
    </xf>
    <xf numFmtId="0" fontId="12" fillId="9" borderId="33" xfId="0" applyFont="1" applyFill="1" applyBorder="1" applyAlignment="1">
      <alignment horizontal="center"/>
    </xf>
    <xf numFmtId="0" fontId="12" fillId="9" borderId="34" xfId="0" applyFont="1" applyFill="1" applyBorder="1" applyAlignment="1">
      <alignment horizontal="center"/>
    </xf>
    <xf numFmtId="0" fontId="26" fillId="11" borderId="33" xfId="0" applyFont="1" applyFill="1" applyBorder="1" applyAlignment="1">
      <alignment horizontal="center"/>
    </xf>
    <xf numFmtId="0" fontId="26" fillId="11" borderId="35" xfId="0" applyFont="1" applyFill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2" fillId="18" borderId="33" xfId="0" applyFont="1" applyFill="1" applyBorder="1" applyAlignment="1">
      <alignment horizontal="center"/>
    </xf>
    <xf numFmtId="0" fontId="12" fillId="18" borderId="34" xfId="0" applyFont="1" applyFill="1" applyBorder="1" applyAlignment="1">
      <alignment horizontal="center"/>
    </xf>
    <xf numFmtId="0" fontId="12" fillId="18" borderId="35" xfId="0" applyFont="1" applyFill="1" applyBorder="1" applyAlignment="1">
      <alignment horizontal="center"/>
    </xf>
    <xf numFmtId="0" fontId="12" fillId="9" borderId="35" xfId="0" applyFont="1" applyFill="1" applyBorder="1" applyAlignment="1">
      <alignment horizontal="center"/>
    </xf>
    <xf numFmtId="0" fontId="26" fillId="11" borderId="34" xfId="0" applyFont="1" applyFill="1" applyBorder="1" applyAlignment="1">
      <alignment horizontal="center"/>
    </xf>
    <xf numFmtId="0" fontId="12" fillId="7" borderId="34" xfId="0" applyFont="1" applyFill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2" fillId="17" borderId="33" xfId="0" applyFont="1" applyFill="1" applyBorder="1" applyAlignment="1">
      <alignment horizontal="center"/>
    </xf>
    <xf numFmtId="0" fontId="12" fillId="17" borderId="34" xfId="0" applyFont="1" applyFill="1" applyBorder="1" applyAlignment="1">
      <alignment horizontal="center"/>
    </xf>
    <xf numFmtId="0" fontId="12" fillId="17" borderId="35" xfId="0" applyFont="1" applyFill="1" applyBorder="1" applyAlignment="1">
      <alignment horizontal="center"/>
    </xf>
    <xf numFmtId="0" fontId="26" fillId="8" borderId="39" xfId="0" applyFont="1" applyFill="1" applyBorder="1" applyAlignment="1">
      <alignment horizontal="center"/>
    </xf>
    <xf numFmtId="0" fontId="26" fillId="8" borderId="38" xfId="0" applyFont="1" applyFill="1" applyBorder="1" applyAlignment="1">
      <alignment horizontal="center"/>
    </xf>
    <xf numFmtId="0" fontId="26" fillId="8" borderId="40" xfId="0" applyFont="1" applyFill="1" applyBorder="1" applyAlignment="1">
      <alignment horizontal="center"/>
    </xf>
    <xf numFmtId="0" fontId="12" fillId="17" borderId="38" xfId="0" applyFont="1" applyFill="1" applyBorder="1" applyAlignment="1">
      <alignment horizontal="center"/>
    </xf>
    <xf numFmtId="0" fontId="12" fillId="17" borderId="40" xfId="0" applyFont="1" applyFill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15" fillId="2" borderId="10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21" fillId="0" borderId="12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1" fillId="13" borderId="8" xfId="0" applyFont="1" applyFill="1" applyBorder="1" applyAlignment="1">
      <alignment horizontal="center" vertical="center"/>
    </xf>
    <xf numFmtId="0" fontId="21" fillId="13" borderId="9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22" fontId="12" fillId="0" borderId="0" xfId="0" applyNumberFormat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8"/>
  <sheetViews>
    <sheetView workbookViewId="0">
      <selection activeCell="D61" sqref="D61"/>
    </sheetView>
  </sheetViews>
  <sheetFormatPr defaultColWidth="8.75" defaultRowHeight="15.6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62</v>
      </c>
      <c r="U2" t="s">
        <v>63</v>
      </c>
      <c r="V2" t="s">
        <v>63</v>
      </c>
      <c r="W2" t="s">
        <v>64</v>
      </c>
      <c r="X2" t="s">
        <v>57</v>
      </c>
      <c r="Y2" t="s">
        <v>57</v>
      </c>
      <c r="Z2" t="s">
        <v>65</v>
      </c>
      <c r="AA2" t="s">
        <v>45</v>
      </c>
      <c r="AB2" t="s">
        <v>63</v>
      </c>
      <c r="AC2" t="s">
        <v>63</v>
      </c>
      <c r="AD2" t="s">
        <v>66</v>
      </c>
      <c r="AE2" t="s">
        <v>57</v>
      </c>
      <c r="AF2" t="s">
        <v>67</v>
      </c>
      <c r="AG2" t="s">
        <v>68</v>
      </c>
      <c r="AH2" t="s">
        <v>69</v>
      </c>
      <c r="AI2" t="s">
        <v>70</v>
      </c>
      <c r="AJ2" t="s">
        <v>71</v>
      </c>
      <c r="AK2" t="s">
        <v>72</v>
      </c>
      <c r="AL2" t="s">
        <v>73</v>
      </c>
      <c r="AM2" t="s">
        <v>74</v>
      </c>
      <c r="AN2" t="s">
        <v>57</v>
      </c>
      <c r="AO2" t="s">
        <v>57</v>
      </c>
      <c r="AP2" t="s">
        <v>75</v>
      </c>
      <c r="AQ2" t="s">
        <v>66</v>
      </c>
    </row>
    <row r="3" spans="1:43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Q3" t="s">
        <v>76</v>
      </c>
      <c r="R3" t="s">
        <v>60</v>
      </c>
      <c r="S3" t="s">
        <v>61</v>
      </c>
      <c r="T3" t="s">
        <v>62</v>
      </c>
      <c r="U3" t="s">
        <v>63</v>
      </c>
      <c r="V3" t="s">
        <v>63</v>
      </c>
      <c r="W3" t="s">
        <v>64</v>
      </c>
      <c r="X3" t="s">
        <v>57</v>
      </c>
      <c r="Y3" t="s">
        <v>57</v>
      </c>
      <c r="Z3" t="s">
        <v>65</v>
      </c>
      <c r="AA3" t="s">
        <v>45</v>
      </c>
      <c r="AB3" t="s">
        <v>63</v>
      </c>
      <c r="AC3" t="s">
        <v>63</v>
      </c>
      <c r="AD3" t="s">
        <v>66</v>
      </c>
      <c r="AE3" t="s">
        <v>57</v>
      </c>
      <c r="AF3" t="s">
        <v>67</v>
      </c>
      <c r="AG3" t="s">
        <v>68</v>
      </c>
      <c r="AH3" t="s">
        <v>69</v>
      </c>
      <c r="AI3" t="s">
        <v>70</v>
      </c>
      <c r="AJ3" t="s">
        <v>71</v>
      </c>
      <c r="AK3" t="s">
        <v>72</v>
      </c>
      <c r="AL3" t="s">
        <v>73</v>
      </c>
      <c r="AM3" t="s">
        <v>74</v>
      </c>
      <c r="AN3" t="s">
        <v>57</v>
      </c>
      <c r="AO3" t="s">
        <v>57</v>
      </c>
      <c r="AP3" t="s">
        <v>75</v>
      </c>
      <c r="AQ3" t="s">
        <v>66</v>
      </c>
    </row>
    <row r="4" spans="1:43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57</v>
      </c>
      <c r="P4" t="s">
        <v>58</v>
      </c>
      <c r="Q4" t="s">
        <v>77</v>
      </c>
      <c r="R4" t="s">
        <v>60</v>
      </c>
      <c r="S4" t="s">
        <v>61</v>
      </c>
      <c r="T4" t="s">
        <v>62</v>
      </c>
      <c r="U4" t="s">
        <v>63</v>
      </c>
      <c r="V4" t="s">
        <v>63</v>
      </c>
      <c r="W4" t="s">
        <v>64</v>
      </c>
      <c r="X4" t="s">
        <v>57</v>
      </c>
      <c r="Y4" t="s">
        <v>57</v>
      </c>
      <c r="Z4" t="s">
        <v>65</v>
      </c>
      <c r="AA4" t="s">
        <v>45</v>
      </c>
      <c r="AB4" t="s">
        <v>63</v>
      </c>
      <c r="AC4" t="s">
        <v>63</v>
      </c>
      <c r="AD4" t="s">
        <v>66</v>
      </c>
      <c r="AE4" t="s">
        <v>57</v>
      </c>
      <c r="AF4" t="s">
        <v>67</v>
      </c>
      <c r="AG4" t="s">
        <v>68</v>
      </c>
      <c r="AH4" t="s">
        <v>69</v>
      </c>
      <c r="AI4" t="s">
        <v>70</v>
      </c>
      <c r="AJ4" t="s">
        <v>71</v>
      </c>
      <c r="AK4" t="s">
        <v>72</v>
      </c>
      <c r="AL4" t="s">
        <v>73</v>
      </c>
      <c r="AM4" t="s">
        <v>74</v>
      </c>
      <c r="AN4" t="s">
        <v>57</v>
      </c>
      <c r="AO4" t="s">
        <v>57</v>
      </c>
      <c r="AP4" t="s">
        <v>75</v>
      </c>
      <c r="AQ4" t="s">
        <v>66</v>
      </c>
    </row>
    <row r="5" spans="1:43">
      <c r="A5" t="s">
        <v>78</v>
      </c>
      <c r="B5" t="s">
        <v>44</v>
      </c>
      <c r="C5" t="s">
        <v>45</v>
      </c>
      <c r="D5" t="s">
        <v>46</v>
      </c>
      <c r="E5" t="s">
        <v>47</v>
      </c>
      <c r="F5" t="s">
        <v>79</v>
      </c>
      <c r="G5" t="s">
        <v>80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60</v>
      </c>
      <c r="S5" t="s">
        <v>61</v>
      </c>
      <c r="T5" t="s">
        <v>62</v>
      </c>
      <c r="U5" t="s">
        <v>63</v>
      </c>
      <c r="V5" t="s">
        <v>63</v>
      </c>
      <c r="W5" t="s">
        <v>64</v>
      </c>
      <c r="X5" t="s">
        <v>57</v>
      </c>
      <c r="Y5" t="s">
        <v>57</v>
      </c>
      <c r="Z5" t="s">
        <v>65</v>
      </c>
      <c r="AA5" t="s">
        <v>45</v>
      </c>
      <c r="AB5" t="s">
        <v>63</v>
      </c>
      <c r="AC5" t="s">
        <v>63</v>
      </c>
      <c r="AD5" t="s">
        <v>66</v>
      </c>
      <c r="AE5" t="s">
        <v>57</v>
      </c>
      <c r="AF5" t="s">
        <v>67</v>
      </c>
      <c r="AG5" t="s">
        <v>68</v>
      </c>
      <c r="AH5" t="s">
        <v>69</v>
      </c>
      <c r="AI5" t="s">
        <v>70</v>
      </c>
      <c r="AJ5" t="s">
        <v>71</v>
      </c>
      <c r="AK5" t="s">
        <v>72</v>
      </c>
      <c r="AL5" t="s">
        <v>81</v>
      </c>
      <c r="AM5" t="s">
        <v>82</v>
      </c>
      <c r="AN5" t="s">
        <v>57</v>
      </c>
      <c r="AO5" t="s">
        <v>57</v>
      </c>
      <c r="AP5" t="s">
        <v>75</v>
      </c>
      <c r="AQ5" t="s">
        <v>66</v>
      </c>
    </row>
    <row r="6" spans="1:43">
      <c r="A6" t="s">
        <v>78</v>
      </c>
      <c r="B6" t="s">
        <v>44</v>
      </c>
      <c r="C6" t="s">
        <v>45</v>
      </c>
      <c r="D6" t="s">
        <v>46</v>
      </c>
      <c r="E6" t="s">
        <v>47</v>
      </c>
      <c r="F6" t="s">
        <v>79</v>
      </c>
      <c r="G6" t="s">
        <v>80</v>
      </c>
      <c r="H6" t="s">
        <v>50</v>
      </c>
      <c r="I6" t="s">
        <v>51</v>
      </c>
      <c r="J6" t="s">
        <v>52</v>
      </c>
      <c r="K6" t="s">
        <v>53</v>
      </c>
      <c r="L6" t="s">
        <v>54</v>
      </c>
      <c r="M6" t="s">
        <v>55</v>
      </c>
      <c r="N6" t="s">
        <v>56</v>
      </c>
      <c r="O6" t="s">
        <v>57</v>
      </c>
      <c r="P6" t="s">
        <v>58</v>
      </c>
      <c r="Q6" t="s">
        <v>76</v>
      </c>
      <c r="R6" t="s">
        <v>60</v>
      </c>
      <c r="S6" t="s">
        <v>61</v>
      </c>
      <c r="T6" t="s">
        <v>62</v>
      </c>
      <c r="U6" t="s">
        <v>63</v>
      </c>
      <c r="V6" t="s">
        <v>63</v>
      </c>
      <c r="W6" t="s">
        <v>64</v>
      </c>
      <c r="X6" t="s">
        <v>57</v>
      </c>
      <c r="Y6" t="s">
        <v>57</v>
      </c>
      <c r="Z6" t="s">
        <v>65</v>
      </c>
      <c r="AA6" t="s">
        <v>45</v>
      </c>
      <c r="AB6" t="s">
        <v>63</v>
      </c>
      <c r="AC6" t="s">
        <v>63</v>
      </c>
      <c r="AD6" t="s">
        <v>66</v>
      </c>
      <c r="AE6" t="s">
        <v>57</v>
      </c>
      <c r="AF6" t="s">
        <v>67</v>
      </c>
      <c r="AG6" t="s">
        <v>68</v>
      </c>
      <c r="AH6" t="s">
        <v>69</v>
      </c>
      <c r="AI6" t="s">
        <v>70</v>
      </c>
      <c r="AJ6" t="s">
        <v>71</v>
      </c>
      <c r="AK6" t="s">
        <v>72</v>
      </c>
      <c r="AL6" t="s">
        <v>81</v>
      </c>
      <c r="AM6" t="s">
        <v>82</v>
      </c>
      <c r="AN6" t="s">
        <v>57</v>
      </c>
      <c r="AO6" t="s">
        <v>57</v>
      </c>
      <c r="AP6" t="s">
        <v>75</v>
      </c>
      <c r="AQ6" t="s">
        <v>66</v>
      </c>
    </row>
    <row r="7" spans="1:43">
      <c r="A7" t="s">
        <v>78</v>
      </c>
      <c r="B7" t="s">
        <v>44</v>
      </c>
      <c r="C7" t="s">
        <v>45</v>
      </c>
      <c r="D7" t="s">
        <v>46</v>
      </c>
      <c r="E7" t="s">
        <v>47</v>
      </c>
      <c r="F7" t="s">
        <v>79</v>
      </c>
      <c r="G7" t="s">
        <v>80</v>
      </c>
      <c r="H7" t="s">
        <v>50</v>
      </c>
      <c r="I7" t="s">
        <v>51</v>
      </c>
      <c r="J7" t="s">
        <v>52</v>
      </c>
      <c r="K7" t="s">
        <v>53</v>
      </c>
      <c r="L7" t="s">
        <v>54</v>
      </c>
      <c r="M7" t="s">
        <v>55</v>
      </c>
      <c r="N7" t="s">
        <v>56</v>
      </c>
      <c r="O7" t="s">
        <v>57</v>
      </c>
      <c r="P7" t="s">
        <v>58</v>
      </c>
      <c r="Q7" t="s">
        <v>77</v>
      </c>
      <c r="R7" t="s">
        <v>60</v>
      </c>
      <c r="S7" t="s">
        <v>61</v>
      </c>
      <c r="T7" t="s">
        <v>62</v>
      </c>
      <c r="U7" t="s">
        <v>63</v>
      </c>
      <c r="V7" t="s">
        <v>63</v>
      </c>
      <c r="W7" t="s">
        <v>64</v>
      </c>
      <c r="X7" t="s">
        <v>57</v>
      </c>
      <c r="Y7" t="s">
        <v>57</v>
      </c>
      <c r="Z7" t="s">
        <v>65</v>
      </c>
      <c r="AA7" t="s">
        <v>45</v>
      </c>
      <c r="AB7" t="s">
        <v>63</v>
      </c>
      <c r="AC7" t="s">
        <v>63</v>
      </c>
      <c r="AD7" t="s">
        <v>66</v>
      </c>
      <c r="AE7" t="s">
        <v>57</v>
      </c>
      <c r="AF7" t="s">
        <v>67</v>
      </c>
      <c r="AG7" t="s">
        <v>68</v>
      </c>
      <c r="AH7" t="s">
        <v>69</v>
      </c>
      <c r="AI7" t="s">
        <v>70</v>
      </c>
      <c r="AJ7" t="s">
        <v>71</v>
      </c>
      <c r="AK7" t="s">
        <v>72</v>
      </c>
      <c r="AL7" t="s">
        <v>81</v>
      </c>
      <c r="AM7" t="s">
        <v>82</v>
      </c>
      <c r="AN7" t="s">
        <v>57</v>
      </c>
      <c r="AO7" t="s">
        <v>57</v>
      </c>
      <c r="AP7" t="s">
        <v>75</v>
      </c>
      <c r="AQ7" t="s">
        <v>66</v>
      </c>
    </row>
    <row r="8" spans="1:43">
      <c r="A8" t="s">
        <v>83</v>
      </c>
      <c r="B8" t="s">
        <v>84</v>
      </c>
      <c r="C8" t="s">
        <v>85</v>
      </c>
      <c r="D8" t="s">
        <v>46</v>
      </c>
      <c r="E8" t="s">
        <v>47</v>
      </c>
      <c r="F8" t="s">
        <v>86</v>
      </c>
      <c r="G8" t="s">
        <v>87</v>
      </c>
      <c r="H8" t="s">
        <v>88</v>
      </c>
      <c r="I8" t="s">
        <v>89</v>
      </c>
      <c r="J8" t="s">
        <v>52</v>
      </c>
      <c r="K8" t="s">
        <v>53</v>
      </c>
      <c r="L8" t="s">
        <v>54</v>
      </c>
      <c r="M8" t="s">
        <v>55</v>
      </c>
      <c r="N8" t="s">
        <v>56</v>
      </c>
      <c r="O8" t="s">
        <v>57</v>
      </c>
      <c r="P8" t="s">
        <v>58</v>
      </c>
      <c r="Q8" t="s">
        <v>77</v>
      </c>
      <c r="R8" t="s">
        <v>90</v>
      </c>
      <c r="S8" t="s">
        <v>61</v>
      </c>
      <c r="T8" t="s">
        <v>62</v>
      </c>
      <c r="U8" t="s">
        <v>63</v>
      </c>
      <c r="V8" t="s">
        <v>63</v>
      </c>
      <c r="W8" t="s">
        <v>64</v>
      </c>
      <c r="X8" t="s">
        <v>57</v>
      </c>
      <c r="Y8" t="s">
        <v>57</v>
      </c>
      <c r="Z8" t="s">
        <v>91</v>
      </c>
      <c r="AA8" t="s">
        <v>92</v>
      </c>
      <c r="AB8" t="s">
        <v>63</v>
      </c>
      <c r="AC8" t="s">
        <v>63</v>
      </c>
      <c r="AD8" t="s">
        <v>66</v>
      </c>
      <c r="AE8" t="s">
        <v>57</v>
      </c>
      <c r="AF8" t="s">
        <v>93</v>
      </c>
      <c r="AG8" t="s">
        <v>68</v>
      </c>
      <c r="AH8" t="s">
        <v>69</v>
      </c>
      <c r="AI8" t="s">
        <v>94</v>
      </c>
      <c r="AJ8" t="s">
        <v>71</v>
      </c>
      <c r="AK8" t="s">
        <v>72</v>
      </c>
      <c r="AL8" t="s">
        <v>95</v>
      </c>
      <c r="AM8" t="s">
        <v>96</v>
      </c>
      <c r="AN8" t="s">
        <v>57</v>
      </c>
      <c r="AO8" t="s">
        <v>57</v>
      </c>
      <c r="AP8" t="s">
        <v>75</v>
      </c>
      <c r="AQ8" t="s">
        <v>66</v>
      </c>
    </row>
    <row r="9" spans="1:43">
      <c r="A9" t="s">
        <v>83</v>
      </c>
      <c r="B9" t="s">
        <v>84</v>
      </c>
      <c r="C9" t="s">
        <v>85</v>
      </c>
      <c r="D9" t="s">
        <v>46</v>
      </c>
      <c r="E9" t="s">
        <v>47</v>
      </c>
      <c r="F9" t="s">
        <v>86</v>
      </c>
      <c r="G9" t="s">
        <v>87</v>
      </c>
      <c r="H9" t="s">
        <v>88</v>
      </c>
      <c r="I9" t="s">
        <v>89</v>
      </c>
      <c r="J9" t="s">
        <v>52</v>
      </c>
      <c r="K9" t="s">
        <v>53</v>
      </c>
      <c r="L9" t="s">
        <v>54</v>
      </c>
      <c r="M9" t="s">
        <v>55</v>
      </c>
      <c r="N9" t="s">
        <v>56</v>
      </c>
      <c r="O9" t="s">
        <v>57</v>
      </c>
      <c r="P9" t="s">
        <v>58</v>
      </c>
      <c r="Q9" t="s">
        <v>76</v>
      </c>
      <c r="R9" t="s">
        <v>90</v>
      </c>
      <c r="S9" t="s">
        <v>61</v>
      </c>
      <c r="T9" t="s">
        <v>62</v>
      </c>
      <c r="U9" t="s">
        <v>63</v>
      </c>
      <c r="V9" t="s">
        <v>63</v>
      </c>
      <c r="W9" t="s">
        <v>64</v>
      </c>
      <c r="X9" t="s">
        <v>57</v>
      </c>
      <c r="Y9" t="s">
        <v>57</v>
      </c>
      <c r="Z9" t="s">
        <v>91</v>
      </c>
      <c r="AA9" t="s">
        <v>92</v>
      </c>
      <c r="AB9" t="s">
        <v>63</v>
      </c>
      <c r="AC9" t="s">
        <v>63</v>
      </c>
      <c r="AD9" t="s">
        <v>66</v>
      </c>
      <c r="AE9" t="s">
        <v>57</v>
      </c>
      <c r="AF9" t="s">
        <v>93</v>
      </c>
      <c r="AG9" t="s">
        <v>68</v>
      </c>
      <c r="AH9" t="s">
        <v>69</v>
      </c>
      <c r="AI9" t="s">
        <v>94</v>
      </c>
      <c r="AJ9" t="s">
        <v>71</v>
      </c>
      <c r="AK9" t="s">
        <v>72</v>
      </c>
      <c r="AL9" t="s">
        <v>95</v>
      </c>
      <c r="AM9" t="s">
        <v>96</v>
      </c>
      <c r="AN9" t="s">
        <v>57</v>
      </c>
      <c r="AO9" t="s">
        <v>57</v>
      </c>
      <c r="AP9" t="s">
        <v>75</v>
      </c>
      <c r="AQ9" t="s">
        <v>66</v>
      </c>
    </row>
    <row r="10" spans="1:43">
      <c r="A10" t="s">
        <v>83</v>
      </c>
      <c r="B10" t="s">
        <v>84</v>
      </c>
      <c r="C10" t="s">
        <v>85</v>
      </c>
      <c r="D10" t="s">
        <v>46</v>
      </c>
      <c r="E10" t="s">
        <v>47</v>
      </c>
      <c r="F10" t="s">
        <v>86</v>
      </c>
      <c r="G10" t="s">
        <v>87</v>
      </c>
      <c r="H10" t="s">
        <v>88</v>
      </c>
      <c r="I10" t="s">
        <v>89</v>
      </c>
      <c r="J10" t="s">
        <v>52</v>
      </c>
      <c r="K10" t="s">
        <v>53</v>
      </c>
      <c r="L10" t="s">
        <v>54</v>
      </c>
      <c r="M10" t="s">
        <v>55</v>
      </c>
      <c r="N10" t="s">
        <v>56</v>
      </c>
      <c r="O10" t="s">
        <v>57</v>
      </c>
      <c r="P10" t="s">
        <v>58</v>
      </c>
      <c r="Q10" t="s">
        <v>97</v>
      </c>
      <c r="R10" t="s">
        <v>90</v>
      </c>
      <c r="S10" t="s">
        <v>61</v>
      </c>
      <c r="T10" t="s">
        <v>62</v>
      </c>
      <c r="U10" t="s">
        <v>63</v>
      </c>
      <c r="V10" t="s">
        <v>63</v>
      </c>
      <c r="W10" t="s">
        <v>64</v>
      </c>
      <c r="X10" t="s">
        <v>57</v>
      </c>
      <c r="Y10" t="s">
        <v>57</v>
      </c>
      <c r="Z10" t="s">
        <v>91</v>
      </c>
      <c r="AA10" t="s">
        <v>92</v>
      </c>
      <c r="AB10" t="s">
        <v>63</v>
      </c>
      <c r="AC10" t="s">
        <v>63</v>
      </c>
      <c r="AD10" t="s">
        <v>66</v>
      </c>
      <c r="AE10" t="s">
        <v>57</v>
      </c>
      <c r="AF10" t="s">
        <v>93</v>
      </c>
      <c r="AG10" t="s">
        <v>68</v>
      </c>
      <c r="AH10" t="s">
        <v>69</v>
      </c>
      <c r="AI10" t="s">
        <v>94</v>
      </c>
      <c r="AJ10" t="s">
        <v>71</v>
      </c>
      <c r="AK10" t="s">
        <v>72</v>
      </c>
      <c r="AL10" t="s">
        <v>95</v>
      </c>
      <c r="AM10" t="s">
        <v>96</v>
      </c>
      <c r="AN10" t="s">
        <v>57</v>
      </c>
      <c r="AO10" t="s">
        <v>57</v>
      </c>
      <c r="AP10" t="s">
        <v>75</v>
      </c>
      <c r="AQ10" t="s">
        <v>66</v>
      </c>
    </row>
    <row r="11" spans="1:43">
      <c r="A11" t="s">
        <v>98</v>
      </c>
      <c r="B11" t="s">
        <v>99</v>
      </c>
      <c r="C11" t="s">
        <v>100</v>
      </c>
      <c r="D11" t="s">
        <v>46</v>
      </c>
      <c r="E11" t="s">
        <v>47</v>
      </c>
      <c r="F11" t="s">
        <v>101</v>
      </c>
      <c r="G11" t="s">
        <v>102</v>
      </c>
      <c r="H11" t="s">
        <v>103</v>
      </c>
      <c r="I11" t="s">
        <v>51</v>
      </c>
      <c r="J11" t="s">
        <v>52</v>
      </c>
      <c r="K11" t="s">
        <v>53</v>
      </c>
      <c r="L11" t="s">
        <v>54</v>
      </c>
      <c r="M11" t="s">
        <v>55</v>
      </c>
      <c r="N11" t="s">
        <v>56</v>
      </c>
      <c r="O11" t="s">
        <v>57</v>
      </c>
      <c r="P11" t="s">
        <v>58</v>
      </c>
      <c r="Q11" t="s">
        <v>59</v>
      </c>
      <c r="R11" t="s">
        <v>60</v>
      </c>
      <c r="S11" t="s">
        <v>61</v>
      </c>
      <c r="T11" t="s">
        <v>62</v>
      </c>
      <c r="U11" t="s">
        <v>63</v>
      </c>
      <c r="V11" t="s">
        <v>63</v>
      </c>
      <c r="W11" t="s">
        <v>64</v>
      </c>
      <c r="X11" t="s">
        <v>57</v>
      </c>
      <c r="Y11" t="s">
        <v>57</v>
      </c>
      <c r="Z11" t="s">
        <v>104</v>
      </c>
      <c r="AA11" t="s">
        <v>100</v>
      </c>
      <c r="AB11" t="s">
        <v>63</v>
      </c>
      <c r="AC11" t="s">
        <v>63</v>
      </c>
      <c r="AD11" t="s">
        <v>66</v>
      </c>
      <c r="AE11" t="s">
        <v>57</v>
      </c>
      <c r="AF11" t="s">
        <v>105</v>
      </c>
      <c r="AG11" t="s">
        <v>68</v>
      </c>
      <c r="AH11" t="s">
        <v>106</v>
      </c>
      <c r="AI11" t="s">
        <v>107</v>
      </c>
      <c r="AJ11" t="s">
        <v>71</v>
      </c>
      <c r="AK11" t="s">
        <v>72</v>
      </c>
      <c r="AL11" t="s">
        <v>81</v>
      </c>
      <c r="AM11" t="s">
        <v>108</v>
      </c>
      <c r="AN11" t="s">
        <v>57</v>
      </c>
      <c r="AO11" t="s">
        <v>57</v>
      </c>
      <c r="AP11" t="s">
        <v>75</v>
      </c>
      <c r="AQ11" t="s">
        <v>66</v>
      </c>
    </row>
    <row r="12" spans="1:43">
      <c r="A12" t="s">
        <v>98</v>
      </c>
      <c r="B12" t="s">
        <v>99</v>
      </c>
      <c r="C12" t="s">
        <v>100</v>
      </c>
      <c r="D12" t="s">
        <v>46</v>
      </c>
      <c r="E12" t="s">
        <v>47</v>
      </c>
      <c r="F12" t="s">
        <v>101</v>
      </c>
      <c r="G12" t="s">
        <v>102</v>
      </c>
      <c r="H12" t="s">
        <v>103</v>
      </c>
      <c r="I12" t="s">
        <v>51</v>
      </c>
      <c r="J12" t="s">
        <v>52</v>
      </c>
      <c r="K12" t="s">
        <v>53</v>
      </c>
      <c r="L12" t="s">
        <v>54</v>
      </c>
      <c r="M12" t="s">
        <v>55</v>
      </c>
      <c r="N12" t="s">
        <v>56</v>
      </c>
      <c r="O12" t="s">
        <v>57</v>
      </c>
      <c r="P12" t="s">
        <v>58</v>
      </c>
      <c r="Q12" t="s">
        <v>76</v>
      </c>
      <c r="R12" t="s">
        <v>60</v>
      </c>
      <c r="S12" t="s">
        <v>61</v>
      </c>
      <c r="T12" t="s">
        <v>62</v>
      </c>
      <c r="U12" t="s">
        <v>63</v>
      </c>
      <c r="V12" t="s">
        <v>63</v>
      </c>
      <c r="W12" t="s">
        <v>64</v>
      </c>
      <c r="X12" t="s">
        <v>57</v>
      </c>
      <c r="Y12" t="s">
        <v>57</v>
      </c>
      <c r="Z12" t="s">
        <v>104</v>
      </c>
      <c r="AA12" t="s">
        <v>100</v>
      </c>
      <c r="AB12" t="s">
        <v>63</v>
      </c>
      <c r="AC12" t="s">
        <v>63</v>
      </c>
      <c r="AD12" t="s">
        <v>66</v>
      </c>
      <c r="AE12" t="s">
        <v>57</v>
      </c>
      <c r="AF12" t="s">
        <v>105</v>
      </c>
      <c r="AG12" t="s">
        <v>68</v>
      </c>
      <c r="AH12" t="s">
        <v>106</v>
      </c>
      <c r="AI12" t="s">
        <v>107</v>
      </c>
      <c r="AJ12" t="s">
        <v>71</v>
      </c>
      <c r="AK12" t="s">
        <v>72</v>
      </c>
      <c r="AL12" t="s">
        <v>81</v>
      </c>
      <c r="AM12" t="s">
        <v>108</v>
      </c>
      <c r="AN12" t="s">
        <v>57</v>
      </c>
      <c r="AO12" t="s">
        <v>57</v>
      </c>
      <c r="AP12" t="s">
        <v>75</v>
      </c>
      <c r="AQ12" t="s">
        <v>66</v>
      </c>
    </row>
    <row r="13" spans="1:43">
      <c r="A13" t="s">
        <v>98</v>
      </c>
      <c r="B13" t="s">
        <v>99</v>
      </c>
      <c r="C13" t="s">
        <v>100</v>
      </c>
      <c r="D13" t="s">
        <v>46</v>
      </c>
      <c r="E13" t="s">
        <v>47</v>
      </c>
      <c r="F13" t="s">
        <v>101</v>
      </c>
      <c r="G13" t="s">
        <v>102</v>
      </c>
      <c r="H13" t="s">
        <v>103</v>
      </c>
      <c r="I13" t="s">
        <v>51</v>
      </c>
      <c r="J13" t="s">
        <v>52</v>
      </c>
      <c r="K13" t="s">
        <v>53</v>
      </c>
      <c r="L13" t="s">
        <v>54</v>
      </c>
      <c r="M13" t="s">
        <v>55</v>
      </c>
      <c r="N13" t="s">
        <v>56</v>
      </c>
      <c r="O13" t="s">
        <v>57</v>
      </c>
      <c r="P13" t="s">
        <v>58</v>
      </c>
      <c r="Q13" t="s">
        <v>77</v>
      </c>
      <c r="R13" t="s">
        <v>60</v>
      </c>
      <c r="S13" t="s">
        <v>61</v>
      </c>
      <c r="T13" t="s">
        <v>62</v>
      </c>
      <c r="U13" t="s">
        <v>63</v>
      </c>
      <c r="V13" t="s">
        <v>63</v>
      </c>
      <c r="W13" t="s">
        <v>64</v>
      </c>
      <c r="X13" t="s">
        <v>57</v>
      </c>
      <c r="Y13" t="s">
        <v>57</v>
      </c>
      <c r="Z13" t="s">
        <v>104</v>
      </c>
      <c r="AA13" t="s">
        <v>100</v>
      </c>
      <c r="AB13" t="s">
        <v>63</v>
      </c>
      <c r="AC13" t="s">
        <v>63</v>
      </c>
      <c r="AD13" t="s">
        <v>66</v>
      </c>
      <c r="AE13" t="s">
        <v>57</v>
      </c>
      <c r="AF13" t="s">
        <v>105</v>
      </c>
      <c r="AG13" t="s">
        <v>68</v>
      </c>
      <c r="AH13" t="s">
        <v>106</v>
      </c>
      <c r="AI13" t="s">
        <v>107</v>
      </c>
      <c r="AJ13" t="s">
        <v>71</v>
      </c>
      <c r="AK13" t="s">
        <v>72</v>
      </c>
      <c r="AL13" t="s">
        <v>81</v>
      </c>
      <c r="AM13" t="s">
        <v>108</v>
      </c>
      <c r="AN13" t="s">
        <v>57</v>
      </c>
      <c r="AO13" t="s">
        <v>57</v>
      </c>
      <c r="AP13" t="s">
        <v>75</v>
      </c>
      <c r="AQ13" t="s">
        <v>66</v>
      </c>
    </row>
    <row r="14" spans="1:43">
      <c r="A14" t="s">
        <v>109</v>
      </c>
      <c r="B14" t="s">
        <v>110</v>
      </c>
      <c r="C14" t="s">
        <v>111</v>
      </c>
      <c r="D14" t="s">
        <v>46</v>
      </c>
      <c r="E14" t="s">
        <v>47</v>
      </c>
      <c r="F14" t="s">
        <v>112</v>
      </c>
      <c r="G14" t="s">
        <v>102</v>
      </c>
      <c r="H14" t="s">
        <v>113</v>
      </c>
      <c r="I14" t="s">
        <v>89</v>
      </c>
      <c r="J14" t="s">
        <v>52</v>
      </c>
      <c r="K14" t="s">
        <v>53</v>
      </c>
      <c r="L14" t="s">
        <v>54</v>
      </c>
      <c r="M14" t="s">
        <v>55</v>
      </c>
      <c r="N14" t="s">
        <v>56</v>
      </c>
      <c r="O14" t="s">
        <v>57</v>
      </c>
      <c r="P14" t="s">
        <v>58</v>
      </c>
      <c r="Q14" t="s">
        <v>97</v>
      </c>
      <c r="R14" t="s">
        <v>90</v>
      </c>
      <c r="S14" t="s">
        <v>61</v>
      </c>
      <c r="T14" t="s">
        <v>62</v>
      </c>
      <c r="U14" t="s">
        <v>63</v>
      </c>
      <c r="V14" t="s">
        <v>63</v>
      </c>
      <c r="W14" t="s">
        <v>64</v>
      </c>
      <c r="X14" t="s">
        <v>57</v>
      </c>
      <c r="Y14" t="s">
        <v>57</v>
      </c>
      <c r="Z14" t="s">
        <v>114</v>
      </c>
      <c r="AA14" t="s">
        <v>115</v>
      </c>
      <c r="AB14" t="s">
        <v>63</v>
      </c>
      <c r="AC14" t="s">
        <v>63</v>
      </c>
      <c r="AD14" t="s">
        <v>66</v>
      </c>
      <c r="AE14" t="s">
        <v>57</v>
      </c>
      <c r="AF14" t="s">
        <v>116</v>
      </c>
      <c r="AG14" t="s">
        <v>68</v>
      </c>
      <c r="AH14" t="s">
        <v>117</v>
      </c>
      <c r="AI14" t="s">
        <v>118</v>
      </c>
      <c r="AJ14" t="s">
        <v>71</v>
      </c>
      <c r="AK14" t="s">
        <v>72</v>
      </c>
      <c r="AL14" t="s">
        <v>119</v>
      </c>
      <c r="AM14" t="s">
        <v>120</v>
      </c>
      <c r="AN14" t="s">
        <v>57</v>
      </c>
      <c r="AO14" t="s">
        <v>57</v>
      </c>
      <c r="AP14" t="s">
        <v>75</v>
      </c>
      <c r="AQ14" t="s">
        <v>66</v>
      </c>
    </row>
    <row r="15" spans="1:43">
      <c r="A15" t="s">
        <v>109</v>
      </c>
      <c r="B15" t="s">
        <v>110</v>
      </c>
      <c r="C15" t="s">
        <v>111</v>
      </c>
      <c r="D15" t="s">
        <v>46</v>
      </c>
      <c r="E15" t="s">
        <v>47</v>
      </c>
      <c r="F15" t="s">
        <v>112</v>
      </c>
      <c r="G15" t="s">
        <v>102</v>
      </c>
      <c r="H15" t="s">
        <v>113</v>
      </c>
      <c r="I15" t="s">
        <v>89</v>
      </c>
      <c r="J15" t="s">
        <v>52</v>
      </c>
      <c r="K15" t="s">
        <v>53</v>
      </c>
      <c r="L15" t="s">
        <v>54</v>
      </c>
      <c r="M15" t="s">
        <v>55</v>
      </c>
      <c r="N15" t="s">
        <v>56</v>
      </c>
      <c r="O15" t="s">
        <v>57</v>
      </c>
      <c r="P15" t="s">
        <v>58</v>
      </c>
      <c r="Q15" t="s">
        <v>76</v>
      </c>
      <c r="R15" t="s">
        <v>90</v>
      </c>
      <c r="S15" t="s">
        <v>61</v>
      </c>
      <c r="T15" t="s">
        <v>62</v>
      </c>
      <c r="U15" t="s">
        <v>63</v>
      </c>
      <c r="V15" t="s">
        <v>63</v>
      </c>
      <c r="W15" t="s">
        <v>64</v>
      </c>
      <c r="X15" t="s">
        <v>57</v>
      </c>
      <c r="Y15" t="s">
        <v>57</v>
      </c>
      <c r="Z15" t="s">
        <v>114</v>
      </c>
      <c r="AA15" t="s">
        <v>115</v>
      </c>
      <c r="AB15" t="s">
        <v>63</v>
      </c>
      <c r="AC15" t="s">
        <v>63</v>
      </c>
      <c r="AD15" t="s">
        <v>66</v>
      </c>
      <c r="AE15" t="s">
        <v>57</v>
      </c>
      <c r="AF15" t="s">
        <v>116</v>
      </c>
      <c r="AG15" t="s">
        <v>68</v>
      </c>
      <c r="AH15" t="s">
        <v>117</v>
      </c>
      <c r="AI15" t="s">
        <v>118</v>
      </c>
      <c r="AJ15" t="s">
        <v>71</v>
      </c>
      <c r="AK15" t="s">
        <v>72</v>
      </c>
      <c r="AL15" t="s">
        <v>119</v>
      </c>
      <c r="AM15" t="s">
        <v>120</v>
      </c>
      <c r="AN15" t="s">
        <v>57</v>
      </c>
      <c r="AO15" t="s">
        <v>57</v>
      </c>
      <c r="AP15" t="s">
        <v>75</v>
      </c>
      <c r="AQ15" t="s">
        <v>66</v>
      </c>
    </row>
    <row r="16" spans="1:43">
      <c r="A16" t="s">
        <v>109</v>
      </c>
      <c r="B16" t="s">
        <v>110</v>
      </c>
      <c r="C16" t="s">
        <v>111</v>
      </c>
      <c r="D16" t="s">
        <v>46</v>
      </c>
      <c r="E16" t="s">
        <v>47</v>
      </c>
      <c r="F16" t="s">
        <v>112</v>
      </c>
      <c r="G16" t="s">
        <v>102</v>
      </c>
      <c r="H16" t="s">
        <v>113</v>
      </c>
      <c r="I16" t="s">
        <v>89</v>
      </c>
      <c r="J16" t="s">
        <v>52</v>
      </c>
      <c r="K16" t="s">
        <v>53</v>
      </c>
      <c r="L16" t="s">
        <v>54</v>
      </c>
      <c r="M16" t="s">
        <v>55</v>
      </c>
      <c r="N16" t="s">
        <v>56</v>
      </c>
      <c r="O16" t="s">
        <v>57</v>
      </c>
      <c r="P16" t="s">
        <v>58</v>
      </c>
      <c r="Q16" t="s">
        <v>77</v>
      </c>
      <c r="R16" t="s">
        <v>90</v>
      </c>
      <c r="S16" t="s">
        <v>61</v>
      </c>
      <c r="T16" t="s">
        <v>62</v>
      </c>
      <c r="U16" t="s">
        <v>63</v>
      </c>
      <c r="V16" t="s">
        <v>63</v>
      </c>
      <c r="W16" t="s">
        <v>64</v>
      </c>
      <c r="X16" t="s">
        <v>57</v>
      </c>
      <c r="Y16" t="s">
        <v>57</v>
      </c>
      <c r="Z16" t="s">
        <v>114</v>
      </c>
      <c r="AA16" t="s">
        <v>115</v>
      </c>
      <c r="AB16" t="s">
        <v>63</v>
      </c>
      <c r="AC16" t="s">
        <v>63</v>
      </c>
      <c r="AD16" t="s">
        <v>66</v>
      </c>
      <c r="AE16" t="s">
        <v>57</v>
      </c>
      <c r="AF16" t="s">
        <v>116</v>
      </c>
      <c r="AG16" t="s">
        <v>68</v>
      </c>
      <c r="AH16" t="s">
        <v>117</v>
      </c>
      <c r="AI16" t="s">
        <v>118</v>
      </c>
      <c r="AJ16" t="s">
        <v>71</v>
      </c>
      <c r="AK16" t="s">
        <v>72</v>
      </c>
      <c r="AL16" t="s">
        <v>119</v>
      </c>
      <c r="AM16" t="s">
        <v>120</v>
      </c>
      <c r="AN16" t="s">
        <v>57</v>
      </c>
      <c r="AO16" t="s">
        <v>57</v>
      </c>
      <c r="AP16" t="s">
        <v>75</v>
      </c>
      <c r="AQ16" t="s">
        <v>66</v>
      </c>
    </row>
    <row r="17" spans="1:43">
      <c r="A17" t="s">
        <v>121</v>
      </c>
      <c r="B17" t="s">
        <v>122</v>
      </c>
      <c r="C17" t="s">
        <v>123</v>
      </c>
      <c r="D17" t="s">
        <v>46</v>
      </c>
      <c r="E17" t="s">
        <v>47</v>
      </c>
      <c r="F17" t="s">
        <v>124</v>
      </c>
      <c r="G17" t="s">
        <v>102</v>
      </c>
      <c r="H17" t="s">
        <v>125</v>
      </c>
      <c r="I17" t="s">
        <v>89</v>
      </c>
      <c r="J17" t="s">
        <v>52</v>
      </c>
      <c r="K17" t="s">
        <v>53</v>
      </c>
      <c r="L17" t="s">
        <v>54</v>
      </c>
      <c r="M17" t="s">
        <v>55</v>
      </c>
      <c r="N17" t="s">
        <v>56</v>
      </c>
      <c r="O17" t="s">
        <v>57</v>
      </c>
      <c r="P17" t="s">
        <v>58</v>
      </c>
      <c r="Q17" t="s">
        <v>59</v>
      </c>
      <c r="R17" t="s">
        <v>126</v>
      </c>
      <c r="S17" t="s">
        <v>61</v>
      </c>
      <c r="T17" t="s">
        <v>62</v>
      </c>
      <c r="U17" t="s">
        <v>63</v>
      </c>
      <c r="V17" t="s">
        <v>63</v>
      </c>
      <c r="W17" t="s">
        <v>64</v>
      </c>
      <c r="X17" t="s">
        <v>57</v>
      </c>
      <c r="Y17" t="s">
        <v>57</v>
      </c>
      <c r="Z17" t="s">
        <v>127</v>
      </c>
      <c r="AA17" t="s">
        <v>123</v>
      </c>
      <c r="AB17" t="s">
        <v>63</v>
      </c>
      <c r="AC17" t="s">
        <v>63</v>
      </c>
      <c r="AD17" t="s">
        <v>66</v>
      </c>
      <c r="AE17" t="s">
        <v>57</v>
      </c>
      <c r="AF17" t="s">
        <v>128</v>
      </c>
      <c r="AG17" t="s">
        <v>68</v>
      </c>
      <c r="AH17" t="s">
        <v>129</v>
      </c>
      <c r="AI17" t="s">
        <v>130</v>
      </c>
      <c r="AJ17" t="s">
        <v>71</v>
      </c>
      <c r="AK17" t="s">
        <v>72</v>
      </c>
      <c r="AL17" t="s">
        <v>131</v>
      </c>
      <c r="AM17" t="s">
        <v>132</v>
      </c>
      <c r="AN17" t="s">
        <v>57</v>
      </c>
      <c r="AO17" t="s">
        <v>57</v>
      </c>
      <c r="AP17" t="s">
        <v>75</v>
      </c>
      <c r="AQ17" t="s">
        <v>66</v>
      </c>
    </row>
    <row r="18" spans="1:43">
      <c r="A18" t="s">
        <v>121</v>
      </c>
      <c r="B18" t="s">
        <v>122</v>
      </c>
      <c r="C18" t="s">
        <v>123</v>
      </c>
      <c r="D18" t="s">
        <v>46</v>
      </c>
      <c r="E18" t="s">
        <v>47</v>
      </c>
      <c r="F18" t="s">
        <v>124</v>
      </c>
      <c r="G18" t="s">
        <v>102</v>
      </c>
      <c r="H18" t="s">
        <v>125</v>
      </c>
      <c r="I18" t="s">
        <v>89</v>
      </c>
      <c r="J18" t="s">
        <v>52</v>
      </c>
      <c r="K18" t="s">
        <v>53</v>
      </c>
      <c r="L18" t="s">
        <v>54</v>
      </c>
      <c r="M18" t="s">
        <v>55</v>
      </c>
      <c r="N18" t="s">
        <v>56</v>
      </c>
      <c r="O18" t="s">
        <v>57</v>
      </c>
      <c r="P18" t="s">
        <v>58</v>
      </c>
      <c r="Q18" t="s">
        <v>76</v>
      </c>
      <c r="R18" t="s">
        <v>126</v>
      </c>
      <c r="S18" t="s">
        <v>61</v>
      </c>
      <c r="T18" t="s">
        <v>62</v>
      </c>
      <c r="U18" t="s">
        <v>63</v>
      </c>
      <c r="V18" t="s">
        <v>63</v>
      </c>
      <c r="W18" t="s">
        <v>64</v>
      </c>
      <c r="X18" t="s">
        <v>57</v>
      </c>
      <c r="Y18" t="s">
        <v>57</v>
      </c>
      <c r="Z18" t="s">
        <v>127</v>
      </c>
      <c r="AA18" t="s">
        <v>123</v>
      </c>
      <c r="AB18" t="s">
        <v>63</v>
      </c>
      <c r="AC18" t="s">
        <v>63</v>
      </c>
      <c r="AD18" t="s">
        <v>66</v>
      </c>
      <c r="AE18" t="s">
        <v>57</v>
      </c>
      <c r="AF18" t="s">
        <v>128</v>
      </c>
      <c r="AG18" t="s">
        <v>68</v>
      </c>
      <c r="AH18" t="s">
        <v>129</v>
      </c>
      <c r="AI18" t="s">
        <v>130</v>
      </c>
      <c r="AJ18" t="s">
        <v>71</v>
      </c>
      <c r="AK18" t="s">
        <v>72</v>
      </c>
      <c r="AL18" t="s">
        <v>131</v>
      </c>
      <c r="AM18" t="s">
        <v>132</v>
      </c>
      <c r="AN18" t="s">
        <v>57</v>
      </c>
      <c r="AO18" t="s">
        <v>57</v>
      </c>
      <c r="AP18" t="s">
        <v>75</v>
      </c>
      <c r="AQ18" t="s">
        <v>66</v>
      </c>
    </row>
    <row r="19" spans="1:43">
      <c r="A19" t="s">
        <v>121</v>
      </c>
      <c r="B19" t="s">
        <v>122</v>
      </c>
      <c r="C19" t="s">
        <v>123</v>
      </c>
      <c r="D19" t="s">
        <v>46</v>
      </c>
      <c r="E19" t="s">
        <v>47</v>
      </c>
      <c r="F19" t="s">
        <v>124</v>
      </c>
      <c r="G19" t="s">
        <v>102</v>
      </c>
      <c r="H19" t="s">
        <v>125</v>
      </c>
      <c r="I19" t="s">
        <v>89</v>
      </c>
      <c r="J19" t="s">
        <v>52</v>
      </c>
      <c r="K19" t="s">
        <v>53</v>
      </c>
      <c r="L19" t="s">
        <v>54</v>
      </c>
      <c r="M19" t="s">
        <v>55</v>
      </c>
      <c r="N19" t="s">
        <v>56</v>
      </c>
      <c r="O19" t="s">
        <v>57</v>
      </c>
      <c r="P19" t="s">
        <v>58</v>
      </c>
      <c r="Q19" t="s">
        <v>77</v>
      </c>
      <c r="R19" t="s">
        <v>126</v>
      </c>
      <c r="S19" t="s">
        <v>61</v>
      </c>
      <c r="T19" t="s">
        <v>62</v>
      </c>
      <c r="U19" t="s">
        <v>63</v>
      </c>
      <c r="V19" t="s">
        <v>63</v>
      </c>
      <c r="W19" t="s">
        <v>64</v>
      </c>
      <c r="X19" t="s">
        <v>57</v>
      </c>
      <c r="Y19" t="s">
        <v>57</v>
      </c>
      <c r="Z19" t="s">
        <v>127</v>
      </c>
      <c r="AA19" t="s">
        <v>123</v>
      </c>
      <c r="AB19" t="s">
        <v>63</v>
      </c>
      <c r="AC19" t="s">
        <v>63</v>
      </c>
      <c r="AD19" t="s">
        <v>66</v>
      </c>
      <c r="AE19" t="s">
        <v>57</v>
      </c>
      <c r="AF19" t="s">
        <v>128</v>
      </c>
      <c r="AG19" t="s">
        <v>68</v>
      </c>
      <c r="AH19" t="s">
        <v>129</v>
      </c>
      <c r="AI19" t="s">
        <v>130</v>
      </c>
      <c r="AJ19" t="s">
        <v>71</v>
      </c>
      <c r="AK19" t="s">
        <v>72</v>
      </c>
      <c r="AL19" t="s">
        <v>131</v>
      </c>
      <c r="AM19" t="s">
        <v>132</v>
      </c>
      <c r="AN19" t="s">
        <v>57</v>
      </c>
      <c r="AO19" t="s">
        <v>57</v>
      </c>
      <c r="AP19" t="s">
        <v>75</v>
      </c>
      <c r="AQ19" t="s">
        <v>66</v>
      </c>
    </row>
    <row r="20" spans="1:43">
      <c r="A20" t="s">
        <v>133</v>
      </c>
      <c r="B20" t="s">
        <v>134</v>
      </c>
      <c r="C20" t="s">
        <v>135</v>
      </c>
      <c r="D20" t="s">
        <v>46</v>
      </c>
      <c r="E20" t="s">
        <v>47</v>
      </c>
      <c r="F20" t="s">
        <v>136</v>
      </c>
      <c r="G20" t="s">
        <v>80</v>
      </c>
      <c r="H20" t="s">
        <v>137</v>
      </c>
      <c r="I20" t="s">
        <v>51</v>
      </c>
      <c r="J20" t="s">
        <v>52</v>
      </c>
      <c r="K20" t="s">
        <v>53</v>
      </c>
      <c r="L20" t="s">
        <v>54</v>
      </c>
      <c r="M20" t="s">
        <v>55</v>
      </c>
      <c r="N20" t="s">
        <v>56</v>
      </c>
      <c r="O20" t="s">
        <v>57</v>
      </c>
      <c r="P20" t="s">
        <v>58</v>
      </c>
      <c r="Q20" t="s">
        <v>59</v>
      </c>
      <c r="R20" t="s">
        <v>60</v>
      </c>
      <c r="S20" t="s">
        <v>61</v>
      </c>
      <c r="T20" t="s">
        <v>62</v>
      </c>
      <c r="U20" t="s">
        <v>63</v>
      </c>
      <c r="V20" t="s">
        <v>63</v>
      </c>
      <c r="W20" t="s">
        <v>64</v>
      </c>
      <c r="X20" t="s">
        <v>57</v>
      </c>
      <c r="Y20" t="s">
        <v>57</v>
      </c>
      <c r="Z20" t="s">
        <v>138</v>
      </c>
      <c r="AA20" t="s">
        <v>135</v>
      </c>
      <c r="AB20" t="s">
        <v>63</v>
      </c>
      <c r="AC20" t="s">
        <v>63</v>
      </c>
      <c r="AD20" t="s">
        <v>66</v>
      </c>
      <c r="AE20" t="s">
        <v>57</v>
      </c>
      <c r="AF20" t="s">
        <v>139</v>
      </c>
      <c r="AG20" t="s">
        <v>68</v>
      </c>
      <c r="AH20" t="s">
        <v>140</v>
      </c>
      <c r="AI20" t="s">
        <v>141</v>
      </c>
      <c r="AJ20" t="s">
        <v>71</v>
      </c>
      <c r="AK20" t="s">
        <v>72</v>
      </c>
      <c r="AL20" t="s">
        <v>81</v>
      </c>
      <c r="AM20" t="s">
        <v>142</v>
      </c>
      <c r="AN20" t="s">
        <v>57</v>
      </c>
      <c r="AO20" t="s">
        <v>57</v>
      </c>
      <c r="AP20" t="s">
        <v>75</v>
      </c>
      <c r="AQ20" t="s">
        <v>75</v>
      </c>
    </row>
    <row r="21" spans="1:43">
      <c r="A21" t="s">
        <v>133</v>
      </c>
      <c r="B21" t="s">
        <v>134</v>
      </c>
      <c r="C21" t="s">
        <v>135</v>
      </c>
      <c r="D21" t="s">
        <v>46</v>
      </c>
      <c r="E21" t="s">
        <v>47</v>
      </c>
      <c r="F21" t="s">
        <v>136</v>
      </c>
      <c r="G21" t="s">
        <v>80</v>
      </c>
      <c r="H21" t="s">
        <v>137</v>
      </c>
      <c r="I21" t="s">
        <v>51</v>
      </c>
      <c r="J21" t="s">
        <v>52</v>
      </c>
      <c r="K21" t="s">
        <v>53</v>
      </c>
      <c r="L21" t="s">
        <v>54</v>
      </c>
      <c r="M21" t="s">
        <v>55</v>
      </c>
      <c r="N21" t="s">
        <v>56</v>
      </c>
      <c r="O21" t="s">
        <v>57</v>
      </c>
      <c r="P21" t="s">
        <v>58</v>
      </c>
      <c r="Q21" t="s">
        <v>76</v>
      </c>
      <c r="R21" t="s">
        <v>60</v>
      </c>
      <c r="S21" t="s">
        <v>61</v>
      </c>
      <c r="T21" t="s">
        <v>62</v>
      </c>
      <c r="U21" t="s">
        <v>63</v>
      </c>
      <c r="V21" t="s">
        <v>63</v>
      </c>
      <c r="W21" t="s">
        <v>64</v>
      </c>
      <c r="X21" t="s">
        <v>57</v>
      </c>
      <c r="Y21" t="s">
        <v>57</v>
      </c>
      <c r="Z21" t="s">
        <v>138</v>
      </c>
      <c r="AA21" t="s">
        <v>135</v>
      </c>
      <c r="AB21" t="s">
        <v>63</v>
      </c>
      <c r="AC21" t="s">
        <v>63</v>
      </c>
      <c r="AD21" t="s">
        <v>66</v>
      </c>
      <c r="AE21" t="s">
        <v>57</v>
      </c>
      <c r="AF21" t="s">
        <v>139</v>
      </c>
      <c r="AG21" t="s">
        <v>68</v>
      </c>
      <c r="AH21" t="s">
        <v>140</v>
      </c>
      <c r="AI21" t="s">
        <v>141</v>
      </c>
      <c r="AJ21" t="s">
        <v>71</v>
      </c>
      <c r="AK21" t="s">
        <v>72</v>
      </c>
      <c r="AL21" t="s">
        <v>81</v>
      </c>
      <c r="AM21" t="s">
        <v>142</v>
      </c>
      <c r="AN21" t="s">
        <v>57</v>
      </c>
      <c r="AO21" t="s">
        <v>57</v>
      </c>
      <c r="AP21" t="s">
        <v>75</v>
      </c>
      <c r="AQ21" t="s">
        <v>75</v>
      </c>
    </row>
    <row r="22" spans="1:43">
      <c r="A22" t="s">
        <v>133</v>
      </c>
      <c r="B22" t="s">
        <v>134</v>
      </c>
      <c r="C22" t="s">
        <v>135</v>
      </c>
      <c r="D22" t="s">
        <v>46</v>
      </c>
      <c r="E22" t="s">
        <v>47</v>
      </c>
      <c r="F22" t="s">
        <v>136</v>
      </c>
      <c r="G22" t="s">
        <v>80</v>
      </c>
      <c r="H22" t="s">
        <v>137</v>
      </c>
      <c r="I22" t="s">
        <v>51</v>
      </c>
      <c r="J22" t="s">
        <v>52</v>
      </c>
      <c r="K22" t="s">
        <v>53</v>
      </c>
      <c r="L22" t="s">
        <v>54</v>
      </c>
      <c r="M22" t="s">
        <v>55</v>
      </c>
      <c r="N22" t="s">
        <v>56</v>
      </c>
      <c r="O22" t="s">
        <v>57</v>
      </c>
      <c r="P22" t="s">
        <v>58</v>
      </c>
      <c r="Q22" t="s">
        <v>77</v>
      </c>
      <c r="R22" t="s">
        <v>60</v>
      </c>
      <c r="S22" t="s">
        <v>61</v>
      </c>
      <c r="T22" t="s">
        <v>62</v>
      </c>
      <c r="U22" t="s">
        <v>63</v>
      </c>
      <c r="V22" t="s">
        <v>63</v>
      </c>
      <c r="W22" t="s">
        <v>64</v>
      </c>
      <c r="X22" t="s">
        <v>57</v>
      </c>
      <c r="Y22" t="s">
        <v>57</v>
      </c>
      <c r="Z22" t="s">
        <v>138</v>
      </c>
      <c r="AA22" t="s">
        <v>135</v>
      </c>
      <c r="AB22" t="s">
        <v>63</v>
      </c>
      <c r="AC22" t="s">
        <v>63</v>
      </c>
      <c r="AD22" t="s">
        <v>66</v>
      </c>
      <c r="AE22" t="s">
        <v>57</v>
      </c>
      <c r="AF22" t="s">
        <v>139</v>
      </c>
      <c r="AG22" t="s">
        <v>68</v>
      </c>
      <c r="AH22" t="s">
        <v>140</v>
      </c>
      <c r="AI22" t="s">
        <v>141</v>
      </c>
      <c r="AJ22" t="s">
        <v>71</v>
      </c>
      <c r="AK22" t="s">
        <v>72</v>
      </c>
      <c r="AL22" t="s">
        <v>81</v>
      </c>
      <c r="AM22" t="s">
        <v>142</v>
      </c>
      <c r="AN22" t="s">
        <v>57</v>
      </c>
      <c r="AO22" t="s">
        <v>57</v>
      </c>
      <c r="AP22" t="s">
        <v>75</v>
      </c>
      <c r="AQ22" t="s">
        <v>75</v>
      </c>
    </row>
    <row r="23" spans="1:43">
      <c r="A23" t="s">
        <v>143</v>
      </c>
      <c r="B23" t="s">
        <v>144</v>
      </c>
      <c r="C23" t="s">
        <v>145</v>
      </c>
      <c r="D23" t="s">
        <v>46</v>
      </c>
      <c r="E23" t="s">
        <v>47</v>
      </c>
      <c r="F23" t="s">
        <v>146</v>
      </c>
      <c r="G23" t="s">
        <v>147</v>
      </c>
      <c r="H23" t="s">
        <v>148</v>
      </c>
      <c r="I23" t="s">
        <v>89</v>
      </c>
      <c r="J23" t="s">
        <v>52</v>
      </c>
      <c r="K23" t="s">
        <v>53</v>
      </c>
      <c r="L23" t="s">
        <v>54</v>
      </c>
      <c r="M23" t="s">
        <v>55</v>
      </c>
      <c r="N23" t="s">
        <v>56</v>
      </c>
      <c r="O23" t="s">
        <v>57</v>
      </c>
      <c r="P23" t="s">
        <v>58</v>
      </c>
      <c r="Q23" t="s">
        <v>149</v>
      </c>
      <c r="R23" t="s">
        <v>150</v>
      </c>
      <c r="S23" t="s">
        <v>61</v>
      </c>
      <c r="T23" t="s">
        <v>62</v>
      </c>
      <c r="U23" t="s">
        <v>63</v>
      </c>
      <c r="V23" t="s">
        <v>63</v>
      </c>
      <c r="W23" t="s">
        <v>151</v>
      </c>
      <c r="X23" t="s">
        <v>152</v>
      </c>
      <c r="Y23" t="s">
        <v>57</v>
      </c>
      <c r="Z23" t="s">
        <v>153</v>
      </c>
      <c r="AA23" t="s">
        <v>154</v>
      </c>
      <c r="AB23" t="s">
        <v>63</v>
      </c>
      <c r="AC23" t="s">
        <v>63</v>
      </c>
      <c r="AD23" t="s">
        <v>66</v>
      </c>
      <c r="AE23" t="s">
        <v>57</v>
      </c>
      <c r="AF23" t="s">
        <v>155</v>
      </c>
      <c r="AG23" t="s">
        <v>68</v>
      </c>
      <c r="AH23" t="s">
        <v>140</v>
      </c>
      <c r="AI23" t="s">
        <v>156</v>
      </c>
      <c r="AJ23" t="s">
        <v>71</v>
      </c>
      <c r="AK23" t="s">
        <v>72</v>
      </c>
      <c r="AL23" t="s">
        <v>157</v>
      </c>
      <c r="AM23" t="s">
        <v>158</v>
      </c>
      <c r="AN23" t="s">
        <v>57</v>
      </c>
      <c r="AO23" t="s">
        <v>57</v>
      </c>
      <c r="AP23" t="s">
        <v>75</v>
      </c>
      <c r="AQ23" t="s">
        <v>66</v>
      </c>
    </row>
    <row r="24" spans="1:43">
      <c r="A24" t="s">
        <v>143</v>
      </c>
      <c r="B24" t="s">
        <v>144</v>
      </c>
      <c r="C24" t="s">
        <v>145</v>
      </c>
      <c r="D24" t="s">
        <v>46</v>
      </c>
      <c r="E24" t="s">
        <v>47</v>
      </c>
      <c r="F24" t="s">
        <v>146</v>
      </c>
      <c r="G24" t="s">
        <v>147</v>
      </c>
      <c r="H24" t="s">
        <v>148</v>
      </c>
      <c r="I24" t="s">
        <v>89</v>
      </c>
      <c r="J24" t="s">
        <v>52</v>
      </c>
      <c r="K24" t="s">
        <v>53</v>
      </c>
      <c r="L24" t="s">
        <v>54</v>
      </c>
      <c r="M24" t="s">
        <v>55</v>
      </c>
      <c r="N24" t="s">
        <v>56</v>
      </c>
      <c r="O24" t="s">
        <v>57</v>
      </c>
      <c r="P24" t="s">
        <v>58</v>
      </c>
      <c r="Q24" t="s">
        <v>77</v>
      </c>
      <c r="R24" t="s">
        <v>150</v>
      </c>
      <c r="S24" t="s">
        <v>61</v>
      </c>
      <c r="T24" t="s">
        <v>62</v>
      </c>
      <c r="U24" t="s">
        <v>63</v>
      </c>
      <c r="V24" t="s">
        <v>63</v>
      </c>
      <c r="W24" t="s">
        <v>151</v>
      </c>
      <c r="X24" t="s">
        <v>152</v>
      </c>
      <c r="Y24" t="s">
        <v>57</v>
      </c>
      <c r="Z24" t="s">
        <v>153</v>
      </c>
      <c r="AA24" t="s">
        <v>154</v>
      </c>
      <c r="AB24" t="s">
        <v>63</v>
      </c>
      <c r="AC24" t="s">
        <v>63</v>
      </c>
      <c r="AD24" t="s">
        <v>66</v>
      </c>
      <c r="AE24" t="s">
        <v>57</v>
      </c>
      <c r="AF24" t="s">
        <v>155</v>
      </c>
      <c r="AG24" t="s">
        <v>68</v>
      </c>
      <c r="AH24" t="s">
        <v>140</v>
      </c>
      <c r="AI24" t="s">
        <v>156</v>
      </c>
      <c r="AJ24" t="s">
        <v>71</v>
      </c>
      <c r="AK24" t="s">
        <v>72</v>
      </c>
      <c r="AL24" t="s">
        <v>157</v>
      </c>
      <c r="AM24" t="s">
        <v>158</v>
      </c>
      <c r="AN24" t="s">
        <v>57</v>
      </c>
      <c r="AO24" t="s">
        <v>57</v>
      </c>
      <c r="AP24" t="s">
        <v>75</v>
      </c>
      <c r="AQ24" t="s">
        <v>66</v>
      </c>
    </row>
    <row r="25" spans="1:43">
      <c r="A25" t="s">
        <v>143</v>
      </c>
      <c r="B25" t="s">
        <v>144</v>
      </c>
      <c r="C25" t="s">
        <v>145</v>
      </c>
      <c r="D25" t="s">
        <v>46</v>
      </c>
      <c r="E25" t="s">
        <v>47</v>
      </c>
      <c r="F25" t="s">
        <v>146</v>
      </c>
      <c r="G25" t="s">
        <v>147</v>
      </c>
      <c r="H25" t="s">
        <v>148</v>
      </c>
      <c r="I25" t="s">
        <v>89</v>
      </c>
      <c r="J25" t="s">
        <v>52</v>
      </c>
      <c r="K25" t="s">
        <v>53</v>
      </c>
      <c r="L25" t="s">
        <v>54</v>
      </c>
      <c r="M25" t="s">
        <v>55</v>
      </c>
      <c r="N25" t="s">
        <v>56</v>
      </c>
      <c r="O25" t="s">
        <v>57</v>
      </c>
      <c r="P25" t="s">
        <v>58</v>
      </c>
      <c r="Q25" t="s">
        <v>97</v>
      </c>
      <c r="R25" t="s">
        <v>150</v>
      </c>
      <c r="S25" t="s">
        <v>61</v>
      </c>
      <c r="T25" t="s">
        <v>62</v>
      </c>
      <c r="U25" t="s">
        <v>63</v>
      </c>
      <c r="V25" t="s">
        <v>63</v>
      </c>
      <c r="W25" t="s">
        <v>151</v>
      </c>
      <c r="X25" t="s">
        <v>152</v>
      </c>
      <c r="Y25" t="s">
        <v>57</v>
      </c>
      <c r="Z25" t="s">
        <v>153</v>
      </c>
      <c r="AA25" t="s">
        <v>154</v>
      </c>
      <c r="AB25" t="s">
        <v>63</v>
      </c>
      <c r="AC25" t="s">
        <v>63</v>
      </c>
      <c r="AD25" t="s">
        <v>66</v>
      </c>
      <c r="AE25" t="s">
        <v>57</v>
      </c>
      <c r="AF25" t="s">
        <v>155</v>
      </c>
      <c r="AG25" t="s">
        <v>68</v>
      </c>
      <c r="AH25" t="s">
        <v>140</v>
      </c>
      <c r="AI25" t="s">
        <v>156</v>
      </c>
      <c r="AJ25" t="s">
        <v>71</v>
      </c>
      <c r="AK25" t="s">
        <v>72</v>
      </c>
      <c r="AL25" t="s">
        <v>157</v>
      </c>
      <c r="AM25" t="s">
        <v>158</v>
      </c>
      <c r="AN25" t="s">
        <v>57</v>
      </c>
      <c r="AO25" t="s">
        <v>57</v>
      </c>
      <c r="AP25" t="s">
        <v>75</v>
      </c>
      <c r="AQ25" t="s">
        <v>66</v>
      </c>
    </row>
    <row r="26" spans="1:43">
      <c r="A26" t="s">
        <v>159</v>
      </c>
      <c r="B26" t="s">
        <v>160</v>
      </c>
      <c r="C26" t="s">
        <v>161</v>
      </c>
      <c r="D26" t="s">
        <v>46</v>
      </c>
      <c r="E26" t="s">
        <v>47</v>
      </c>
      <c r="F26" t="s">
        <v>162</v>
      </c>
      <c r="G26" t="s">
        <v>102</v>
      </c>
      <c r="H26" t="s">
        <v>163</v>
      </c>
      <c r="I26" t="s">
        <v>89</v>
      </c>
      <c r="J26" t="s">
        <v>52</v>
      </c>
      <c r="K26" t="s">
        <v>53</v>
      </c>
      <c r="L26" t="s">
        <v>54</v>
      </c>
      <c r="M26" t="s">
        <v>55</v>
      </c>
      <c r="N26" t="s">
        <v>56</v>
      </c>
      <c r="O26" t="s">
        <v>57</v>
      </c>
      <c r="P26" t="s">
        <v>58</v>
      </c>
      <c r="Q26" t="s">
        <v>97</v>
      </c>
      <c r="R26" t="s">
        <v>90</v>
      </c>
      <c r="S26" t="s">
        <v>61</v>
      </c>
      <c r="T26" t="s">
        <v>62</v>
      </c>
      <c r="U26" t="s">
        <v>63</v>
      </c>
      <c r="V26" t="s">
        <v>63</v>
      </c>
      <c r="W26" t="s">
        <v>64</v>
      </c>
      <c r="X26" t="s">
        <v>57</v>
      </c>
      <c r="Y26" t="s">
        <v>57</v>
      </c>
      <c r="Z26" t="s">
        <v>164</v>
      </c>
      <c r="AA26" t="s">
        <v>161</v>
      </c>
      <c r="AB26" t="s">
        <v>63</v>
      </c>
      <c r="AC26" t="s">
        <v>63</v>
      </c>
      <c r="AD26" t="s">
        <v>66</v>
      </c>
      <c r="AE26" t="s">
        <v>57</v>
      </c>
      <c r="AF26" t="s">
        <v>165</v>
      </c>
      <c r="AG26" t="s">
        <v>68</v>
      </c>
      <c r="AH26" t="s">
        <v>166</v>
      </c>
      <c r="AI26" t="s">
        <v>167</v>
      </c>
      <c r="AJ26" t="s">
        <v>71</v>
      </c>
      <c r="AK26" t="s">
        <v>72</v>
      </c>
      <c r="AL26" t="s">
        <v>81</v>
      </c>
      <c r="AM26" t="s">
        <v>168</v>
      </c>
      <c r="AN26" t="s">
        <v>57</v>
      </c>
      <c r="AO26" t="s">
        <v>57</v>
      </c>
      <c r="AP26" t="s">
        <v>75</v>
      </c>
      <c r="AQ26" t="s">
        <v>66</v>
      </c>
    </row>
    <row r="27" spans="1:43">
      <c r="A27" t="s">
        <v>159</v>
      </c>
      <c r="B27" t="s">
        <v>160</v>
      </c>
      <c r="C27" t="s">
        <v>161</v>
      </c>
      <c r="D27" t="s">
        <v>46</v>
      </c>
      <c r="E27" t="s">
        <v>47</v>
      </c>
      <c r="F27" t="s">
        <v>162</v>
      </c>
      <c r="G27" t="s">
        <v>102</v>
      </c>
      <c r="H27" t="s">
        <v>163</v>
      </c>
      <c r="I27" t="s">
        <v>89</v>
      </c>
      <c r="J27" t="s">
        <v>52</v>
      </c>
      <c r="K27" t="s">
        <v>53</v>
      </c>
      <c r="L27" t="s">
        <v>54</v>
      </c>
      <c r="M27" t="s">
        <v>55</v>
      </c>
      <c r="N27" t="s">
        <v>56</v>
      </c>
      <c r="O27" t="s">
        <v>57</v>
      </c>
      <c r="P27" t="s">
        <v>58</v>
      </c>
      <c r="Q27" t="s">
        <v>76</v>
      </c>
      <c r="R27" t="s">
        <v>90</v>
      </c>
      <c r="S27" t="s">
        <v>61</v>
      </c>
      <c r="T27" t="s">
        <v>62</v>
      </c>
      <c r="U27" t="s">
        <v>63</v>
      </c>
      <c r="V27" t="s">
        <v>63</v>
      </c>
      <c r="W27" t="s">
        <v>64</v>
      </c>
      <c r="X27" t="s">
        <v>57</v>
      </c>
      <c r="Y27" t="s">
        <v>57</v>
      </c>
      <c r="Z27" t="s">
        <v>164</v>
      </c>
      <c r="AA27" t="s">
        <v>161</v>
      </c>
      <c r="AB27" t="s">
        <v>63</v>
      </c>
      <c r="AC27" t="s">
        <v>63</v>
      </c>
      <c r="AD27" t="s">
        <v>66</v>
      </c>
      <c r="AE27" t="s">
        <v>57</v>
      </c>
      <c r="AF27" t="s">
        <v>165</v>
      </c>
      <c r="AG27" t="s">
        <v>68</v>
      </c>
      <c r="AH27" t="s">
        <v>166</v>
      </c>
      <c r="AI27" t="s">
        <v>167</v>
      </c>
      <c r="AJ27" t="s">
        <v>71</v>
      </c>
      <c r="AK27" t="s">
        <v>72</v>
      </c>
      <c r="AL27" t="s">
        <v>81</v>
      </c>
      <c r="AM27" t="s">
        <v>168</v>
      </c>
      <c r="AN27" t="s">
        <v>57</v>
      </c>
      <c r="AO27" t="s">
        <v>57</v>
      </c>
      <c r="AP27" t="s">
        <v>75</v>
      </c>
      <c r="AQ27" t="s">
        <v>66</v>
      </c>
    </row>
    <row r="28" spans="1:43">
      <c r="A28" t="s">
        <v>159</v>
      </c>
      <c r="B28" t="s">
        <v>160</v>
      </c>
      <c r="C28" t="s">
        <v>161</v>
      </c>
      <c r="D28" t="s">
        <v>46</v>
      </c>
      <c r="E28" t="s">
        <v>47</v>
      </c>
      <c r="F28" t="s">
        <v>162</v>
      </c>
      <c r="G28" t="s">
        <v>102</v>
      </c>
      <c r="H28" t="s">
        <v>163</v>
      </c>
      <c r="I28" t="s">
        <v>89</v>
      </c>
      <c r="J28" t="s">
        <v>52</v>
      </c>
      <c r="K28" t="s">
        <v>53</v>
      </c>
      <c r="L28" t="s">
        <v>54</v>
      </c>
      <c r="M28" t="s">
        <v>55</v>
      </c>
      <c r="N28" t="s">
        <v>56</v>
      </c>
      <c r="O28" t="s">
        <v>57</v>
      </c>
      <c r="P28" t="s">
        <v>58</v>
      </c>
      <c r="Q28" t="s">
        <v>77</v>
      </c>
      <c r="R28" t="s">
        <v>90</v>
      </c>
      <c r="S28" t="s">
        <v>61</v>
      </c>
      <c r="T28" t="s">
        <v>62</v>
      </c>
      <c r="U28" t="s">
        <v>63</v>
      </c>
      <c r="V28" t="s">
        <v>63</v>
      </c>
      <c r="W28" t="s">
        <v>64</v>
      </c>
      <c r="X28" t="s">
        <v>57</v>
      </c>
      <c r="Y28" t="s">
        <v>57</v>
      </c>
      <c r="Z28" t="s">
        <v>164</v>
      </c>
      <c r="AA28" t="s">
        <v>161</v>
      </c>
      <c r="AB28" t="s">
        <v>63</v>
      </c>
      <c r="AC28" t="s">
        <v>63</v>
      </c>
      <c r="AD28" t="s">
        <v>66</v>
      </c>
      <c r="AE28" t="s">
        <v>57</v>
      </c>
      <c r="AF28" t="s">
        <v>165</v>
      </c>
      <c r="AG28" t="s">
        <v>68</v>
      </c>
      <c r="AH28" t="s">
        <v>166</v>
      </c>
      <c r="AI28" t="s">
        <v>167</v>
      </c>
      <c r="AJ28" t="s">
        <v>71</v>
      </c>
      <c r="AK28" t="s">
        <v>72</v>
      </c>
      <c r="AL28" t="s">
        <v>81</v>
      </c>
      <c r="AM28" t="s">
        <v>168</v>
      </c>
      <c r="AN28" t="s">
        <v>57</v>
      </c>
      <c r="AO28" t="s">
        <v>57</v>
      </c>
      <c r="AP28" t="s">
        <v>75</v>
      </c>
      <c r="AQ28" t="s">
        <v>66</v>
      </c>
    </row>
    <row r="29" spans="1:43">
      <c r="A29" t="s">
        <v>169</v>
      </c>
      <c r="B29" t="s">
        <v>170</v>
      </c>
      <c r="C29" t="s">
        <v>171</v>
      </c>
      <c r="D29" t="s">
        <v>172</v>
      </c>
      <c r="E29" t="s">
        <v>173</v>
      </c>
      <c r="F29" t="s">
        <v>174</v>
      </c>
      <c r="G29" t="s">
        <v>175</v>
      </c>
      <c r="H29" t="s">
        <v>176</v>
      </c>
      <c r="I29" t="s">
        <v>51</v>
      </c>
      <c r="J29" t="s">
        <v>52</v>
      </c>
      <c r="K29" t="s">
        <v>53</v>
      </c>
      <c r="L29" t="s">
        <v>54</v>
      </c>
      <c r="M29" t="s">
        <v>55</v>
      </c>
      <c r="N29" t="s">
        <v>56</v>
      </c>
      <c r="O29" t="s">
        <v>57</v>
      </c>
      <c r="P29" t="s">
        <v>58</v>
      </c>
      <c r="Q29" t="s">
        <v>76</v>
      </c>
      <c r="R29" t="s">
        <v>60</v>
      </c>
      <c r="S29" t="s">
        <v>61</v>
      </c>
      <c r="T29" t="s">
        <v>62</v>
      </c>
      <c r="U29" t="s">
        <v>63</v>
      </c>
      <c r="V29" t="s">
        <v>63</v>
      </c>
      <c r="W29" t="s">
        <v>64</v>
      </c>
      <c r="X29" t="s">
        <v>57</v>
      </c>
      <c r="Y29" t="s">
        <v>57</v>
      </c>
      <c r="Z29" t="s">
        <v>177</v>
      </c>
      <c r="AA29" t="s">
        <v>171</v>
      </c>
      <c r="AB29" t="s">
        <v>63</v>
      </c>
      <c r="AC29" t="s">
        <v>63</v>
      </c>
      <c r="AD29" t="s">
        <v>66</v>
      </c>
      <c r="AE29" t="s">
        <v>57</v>
      </c>
      <c r="AF29" t="s">
        <v>178</v>
      </c>
      <c r="AG29" t="s">
        <v>68</v>
      </c>
      <c r="AH29" t="s">
        <v>166</v>
      </c>
      <c r="AI29" t="s">
        <v>179</v>
      </c>
      <c r="AJ29" t="s">
        <v>71</v>
      </c>
      <c r="AK29" t="s">
        <v>72</v>
      </c>
      <c r="AL29" t="s">
        <v>81</v>
      </c>
      <c r="AM29" t="s">
        <v>180</v>
      </c>
      <c r="AN29" t="s">
        <v>57</v>
      </c>
      <c r="AO29" t="s">
        <v>57</v>
      </c>
      <c r="AP29" t="s">
        <v>75</v>
      </c>
      <c r="AQ29" t="s">
        <v>66</v>
      </c>
    </row>
    <row r="30" spans="1:43">
      <c r="A30" t="s">
        <v>169</v>
      </c>
      <c r="B30" t="s">
        <v>170</v>
      </c>
      <c r="C30" t="s">
        <v>171</v>
      </c>
      <c r="D30" t="s">
        <v>172</v>
      </c>
      <c r="E30" t="s">
        <v>173</v>
      </c>
      <c r="F30" t="s">
        <v>174</v>
      </c>
      <c r="G30" t="s">
        <v>175</v>
      </c>
      <c r="H30" t="s">
        <v>176</v>
      </c>
      <c r="I30" t="s">
        <v>51</v>
      </c>
      <c r="J30" t="s">
        <v>52</v>
      </c>
      <c r="K30" t="s">
        <v>53</v>
      </c>
      <c r="L30" t="s">
        <v>54</v>
      </c>
      <c r="M30" t="s">
        <v>55</v>
      </c>
      <c r="N30" t="s">
        <v>56</v>
      </c>
      <c r="O30" t="s">
        <v>57</v>
      </c>
      <c r="P30" t="s">
        <v>58</v>
      </c>
      <c r="Q30" t="s">
        <v>77</v>
      </c>
      <c r="R30" t="s">
        <v>60</v>
      </c>
      <c r="S30" t="s">
        <v>61</v>
      </c>
      <c r="T30" t="s">
        <v>62</v>
      </c>
      <c r="U30" t="s">
        <v>63</v>
      </c>
      <c r="V30" t="s">
        <v>63</v>
      </c>
      <c r="W30" t="s">
        <v>64</v>
      </c>
      <c r="X30" t="s">
        <v>57</v>
      </c>
      <c r="Y30" t="s">
        <v>57</v>
      </c>
      <c r="Z30" t="s">
        <v>177</v>
      </c>
      <c r="AA30" t="s">
        <v>171</v>
      </c>
      <c r="AB30" t="s">
        <v>63</v>
      </c>
      <c r="AC30" t="s">
        <v>63</v>
      </c>
      <c r="AD30" t="s">
        <v>66</v>
      </c>
      <c r="AE30" t="s">
        <v>57</v>
      </c>
      <c r="AF30" t="s">
        <v>178</v>
      </c>
      <c r="AG30" t="s">
        <v>68</v>
      </c>
      <c r="AH30" t="s">
        <v>166</v>
      </c>
      <c r="AI30" t="s">
        <v>179</v>
      </c>
      <c r="AJ30" t="s">
        <v>71</v>
      </c>
      <c r="AK30" t="s">
        <v>72</v>
      </c>
      <c r="AL30" t="s">
        <v>81</v>
      </c>
      <c r="AM30" t="s">
        <v>180</v>
      </c>
      <c r="AN30" t="s">
        <v>57</v>
      </c>
      <c r="AO30" t="s">
        <v>57</v>
      </c>
      <c r="AP30" t="s">
        <v>75</v>
      </c>
      <c r="AQ30" t="s">
        <v>66</v>
      </c>
    </row>
    <row r="31" spans="1:43">
      <c r="A31" t="s">
        <v>181</v>
      </c>
      <c r="B31" t="s">
        <v>182</v>
      </c>
      <c r="C31" t="s">
        <v>183</v>
      </c>
      <c r="D31" t="s">
        <v>46</v>
      </c>
      <c r="E31" t="s">
        <v>47</v>
      </c>
      <c r="F31" t="s">
        <v>184</v>
      </c>
      <c r="G31" t="s">
        <v>185</v>
      </c>
      <c r="H31" t="s">
        <v>186</v>
      </c>
      <c r="I31" t="s">
        <v>51</v>
      </c>
      <c r="J31" t="s">
        <v>52</v>
      </c>
      <c r="K31" t="s">
        <v>53</v>
      </c>
      <c r="L31" t="s">
        <v>54</v>
      </c>
      <c r="M31" t="s">
        <v>55</v>
      </c>
      <c r="N31" t="s">
        <v>56</v>
      </c>
      <c r="O31" t="s">
        <v>57</v>
      </c>
      <c r="P31" t="s">
        <v>58</v>
      </c>
      <c r="Q31" t="s">
        <v>97</v>
      </c>
      <c r="R31" t="s">
        <v>187</v>
      </c>
      <c r="S31" t="s">
        <v>61</v>
      </c>
      <c r="T31" t="s">
        <v>62</v>
      </c>
      <c r="U31" t="s">
        <v>63</v>
      </c>
      <c r="V31" t="s">
        <v>63</v>
      </c>
      <c r="W31" t="s">
        <v>151</v>
      </c>
      <c r="X31" t="s">
        <v>188</v>
      </c>
      <c r="Y31" t="s">
        <v>57</v>
      </c>
      <c r="Z31" t="s">
        <v>189</v>
      </c>
      <c r="AA31" t="s">
        <v>183</v>
      </c>
      <c r="AB31" t="s">
        <v>63</v>
      </c>
      <c r="AC31" t="s">
        <v>63</v>
      </c>
      <c r="AD31" t="s">
        <v>66</v>
      </c>
      <c r="AE31" t="s">
        <v>57</v>
      </c>
      <c r="AF31" t="s">
        <v>190</v>
      </c>
      <c r="AG31" t="s">
        <v>68</v>
      </c>
      <c r="AH31" t="s">
        <v>191</v>
      </c>
      <c r="AI31" t="s">
        <v>192</v>
      </c>
      <c r="AJ31" t="s">
        <v>71</v>
      </c>
      <c r="AK31" t="s">
        <v>72</v>
      </c>
      <c r="AL31" t="s">
        <v>193</v>
      </c>
      <c r="AM31" t="s">
        <v>194</v>
      </c>
      <c r="AN31" t="s">
        <v>57</v>
      </c>
      <c r="AO31" t="s">
        <v>57</v>
      </c>
      <c r="AP31" t="s">
        <v>75</v>
      </c>
      <c r="AQ31" t="s">
        <v>66</v>
      </c>
    </row>
    <row r="32" spans="1:43">
      <c r="A32" t="s">
        <v>181</v>
      </c>
      <c r="B32" t="s">
        <v>182</v>
      </c>
      <c r="C32" t="s">
        <v>183</v>
      </c>
      <c r="D32" t="s">
        <v>46</v>
      </c>
      <c r="E32" t="s">
        <v>47</v>
      </c>
      <c r="F32" t="s">
        <v>184</v>
      </c>
      <c r="G32" t="s">
        <v>185</v>
      </c>
      <c r="H32" t="s">
        <v>186</v>
      </c>
      <c r="I32" t="s">
        <v>51</v>
      </c>
      <c r="J32" t="s">
        <v>52</v>
      </c>
      <c r="K32" t="s">
        <v>53</v>
      </c>
      <c r="L32" t="s">
        <v>54</v>
      </c>
      <c r="M32" t="s">
        <v>55</v>
      </c>
      <c r="N32" t="s">
        <v>56</v>
      </c>
      <c r="O32" t="s">
        <v>57</v>
      </c>
      <c r="P32" t="s">
        <v>58</v>
      </c>
      <c r="Q32" t="s">
        <v>149</v>
      </c>
      <c r="R32" t="s">
        <v>187</v>
      </c>
      <c r="S32" t="s">
        <v>61</v>
      </c>
      <c r="T32" t="s">
        <v>62</v>
      </c>
      <c r="U32" t="s">
        <v>63</v>
      </c>
      <c r="V32" t="s">
        <v>63</v>
      </c>
      <c r="W32" t="s">
        <v>151</v>
      </c>
      <c r="X32" t="s">
        <v>188</v>
      </c>
      <c r="Y32" t="s">
        <v>57</v>
      </c>
      <c r="Z32" t="s">
        <v>189</v>
      </c>
      <c r="AA32" t="s">
        <v>183</v>
      </c>
      <c r="AB32" t="s">
        <v>63</v>
      </c>
      <c r="AC32" t="s">
        <v>63</v>
      </c>
      <c r="AD32" t="s">
        <v>66</v>
      </c>
      <c r="AE32" t="s">
        <v>57</v>
      </c>
      <c r="AF32" t="s">
        <v>190</v>
      </c>
      <c r="AG32" t="s">
        <v>68</v>
      </c>
      <c r="AH32" t="s">
        <v>191</v>
      </c>
      <c r="AI32" t="s">
        <v>192</v>
      </c>
      <c r="AJ32" t="s">
        <v>71</v>
      </c>
      <c r="AK32" t="s">
        <v>72</v>
      </c>
      <c r="AL32" t="s">
        <v>193</v>
      </c>
      <c r="AM32" t="s">
        <v>194</v>
      </c>
      <c r="AN32" t="s">
        <v>57</v>
      </c>
      <c r="AO32" t="s">
        <v>57</v>
      </c>
      <c r="AP32" t="s">
        <v>75</v>
      </c>
      <c r="AQ32" t="s">
        <v>66</v>
      </c>
    </row>
    <row r="33" spans="1:43">
      <c r="A33" t="s">
        <v>195</v>
      </c>
      <c r="B33" t="s">
        <v>196</v>
      </c>
      <c r="C33" t="s">
        <v>197</v>
      </c>
      <c r="D33" t="s">
        <v>46</v>
      </c>
      <c r="E33" t="s">
        <v>47</v>
      </c>
      <c r="F33" t="s">
        <v>198</v>
      </c>
      <c r="G33" t="s">
        <v>102</v>
      </c>
      <c r="H33" t="s">
        <v>199</v>
      </c>
      <c r="I33" t="s">
        <v>51</v>
      </c>
      <c r="J33" t="s">
        <v>52</v>
      </c>
      <c r="K33" t="s">
        <v>53</v>
      </c>
      <c r="L33" t="s">
        <v>54</v>
      </c>
      <c r="M33" t="s">
        <v>55</v>
      </c>
      <c r="N33" t="s">
        <v>56</v>
      </c>
      <c r="O33" t="s">
        <v>57</v>
      </c>
      <c r="P33" t="s">
        <v>58</v>
      </c>
      <c r="Q33" t="s">
        <v>97</v>
      </c>
      <c r="R33" t="s">
        <v>200</v>
      </c>
      <c r="S33" t="s">
        <v>61</v>
      </c>
      <c r="T33" t="s">
        <v>62</v>
      </c>
      <c r="U33" t="s">
        <v>63</v>
      </c>
      <c r="V33" t="s">
        <v>63</v>
      </c>
      <c r="W33" t="s">
        <v>64</v>
      </c>
      <c r="X33" t="s">
        <v>57</v>
      </c>
      <c r="Y33" t="s">
        <v>57</v>
      </c>
      <c r="Z33" t="s">
        <v>201</v>
      </c>
      <c r="AA33" t="s">
        <v>197</v>
      </c>
      <c r="AB33" t="s">
        <v>63</v>
      </c>
      <c r="AC33" t="s">
        <v>63</v>
      </c>
      <c r="AD33" t="s">
        <v>66</v>
      </c>
      <c r="AE33" t="s">
        <v>57</v>
      </c>
      <c r="AF33" t="s">
        <v>202</v>
      </c>
      <c r="AG33" t="s">
        <v>68</v>
      </c>
      <c r="AH33" t="s">
        <v>191</v>
      </c>
      <c r="AI33" t="s">
        <v>203</v>
      </c>
      <c r="AJ33" t="s">
        <v>71</v>
      </c>
      <c r="AK33" t="s">
        <v>72</v>
      </c>
      <c r="AL33" t="s">
        <v>81</v>
      </c>
      <c r="AM33" t="s">
        <v>204</v>
      </c>
      <c r="AN33" t="s">
        <v>57</v>
      </c>
      <c r="AO33" t="s">
        <v>57</v>
      </c>
      <c r="AP33" t="s">
        <v>75</v>
      </c>
      <c r="AQ33" t="s">
        <v>66</v>
      </c>
    </row>
    <row r="34" spans="1:43">
      <c r="A34" t="s">
        <v>195</v>
      </c>
      <c r="B34" t="s">
        <v>196</v>
      </c>
      <c r="C34" t="s">
        <v>197</v>
      </c>
      <c r="D34" t="s">
        <v>46</v>
      </c>
      <c r="E34" t="s">
        <v>47</v>
      </c>
      <c r="F34" t="s">
        <v>198</v>
      </c>
      <c r="G34" t="s">
        <v>102</v>
      </c>
      <c r="H34" t="s">
        <v>199</v>
      </c>
      <c r="I34" t="s">
        <v>51</v>
      </c>
      <c r="J34" t="s">
        <v>52</v>
      </c>
      <c r="K34" t="s">
        <v>53</v>
      </c>
      <c r="L34" t="s">
        <v>54</v>
      </c>
      <c r="M34" t="s">
        <v>55</v>
      </c>
      <c r="N34" t="s">
        <v>56</v>
      </c>
      <c r="O34" t="s">
        <v>57</v>
      </c>
      <c r="P34" t="s">
        <v>58</v>
      </c>
      <c r="Q34" t="s">
        <v>76</v>
      </c>
      <c r="R34" t="s">
        <v>200</v>
      </c>
      <c r="S34" t="s">
        <v>61</v>
      </c>
      <c r="T34" t="s">
        <v>62</v>
      </c>
      <c r="U34" t="s">
        <v>63</v>
      </c>
      <c r="V34" t="s">
        <v>63</v>
      </c>
      <c r="W34" t="s">
        <v>64</v>
      </c>
      <c r="X34" t="s">
        <v>57</v>
      </c>
      <c r="Y34" t="s">
        <v>57</v>
      </c>
      <c r="Z34" t="s">
        <v>201</v>
      </c>
      <c r="AA34" t="s">
        <v>197</v>
      </c>
      <c r="AB34" t="s">
        <v>63</v>
      </c>
      <c r="AC34" t="s">
        <v>63</v>
      </c>
      <c r="AD34" t="s">
        <v>66</v>
      </c>
      <c r="AE34" t="s">
        <v>57</v>
      </c>
      <c r="AF34" t="s">
        <v>202</v>
      </c>
      <c r="AG34" t="s">
        <v>68</v>
      </c>
      <c r="AH34" t="s">
        <v>191</v>
      </c>
      <c r="AI34" t="s">
        <v>203</v>
      </c>
      <c r="AJ34" t="s">
        <v>71</v>
      </c>
      <c r="AK34" t="s">
        <v>72</v>
      </c>
      <c r="AL34" t="s">
        <v>81</v>
      </c>
      <c r="AM34" t="s">
        <v>204</v>
      </c>
      <c r="AN34" t="s">
        <v>57</v>
      </c>
      <c r="AO34" t="s">
        <v>57</v>
      </c>
      <c r="AP34" t="s">
        <v>75</v>
      </c>
      <c r="AQ34" t="s">
        <v>66</v>
      </c>
    </row>
    <row r="35" spans="1:43">
      <c r="A35" t="s">
        <v>205</v>
      </c>
      <c r="B35" t="s">
        <v>196</v>
      </c>
      <c r="C35" t="s">
        <v>197</v>
      </c>
      <c r="D35" t="s">
        <v>46</v>
      </c>
      <c r="E35" t="s">
        <v>47</v>
      </c>
      <c r="F35" t="s">
        <v>206</v>
      </c>
      <c r="G35" t="s">
        <v>49</v>
      </c>
      <c r="H35" t="s">
        <v>199</v>
      </c>
      <c r="I35" t="s">
        <v>51</v>
      </c>
      <c r="J35" t="s">
        <v>52</v>
      </c>
      <c r="K35" t="s">
        <v>53</v>
      </c>
      <c r="L35" t="s">
        <v>54</v>
      </c>
      <c r="M35" t="s">
        <v>55</v>
      </c>
      <c r="N35" t="s">
        <v>56</v>
      </c>
      <c r="O35" t="s">
        <v>57</v>
      </c>
      <c r="P35" t="s">
        <v>58</v>
      </c>
      <c r="Q35" t="s">
        <v>59</v>
      </c>
      <c r="R35" t="s">
        <v>60</v>
      </c>
      <c r="S35" t="s">
        <v>61</v>
      </c>
      <c r="T35" t="s">
        <v>62</v>
      </c>
      <c r="U35" t="s">
        <v>63</v>
      </c>
      <c r="V35" t="s">
        <v>63</v>
      </c>
      <c r="W35" t="s">
        <v>64</v>
      </c>
      <c r="X35" t="s">
        <v>57</v>
      </c>
      <c r="Y35" t="s">
        <v>57</v>
      </c>
      <c r="Z35" t="s">
        <v>201</v>
      </c>
      <c r="AA35" t="s">
        <v>197</v>
      </c>
      <c r="AB35" t="s">
        <v>63</v>
      </c>
      <c r="AC35" t="s">
        <v>63</v>
      </c>
      <c r="AD35" t="s">
        <v>66</v>
      </c>
      <c r="AE35" t="s">
        <v>57</v>
      </c>
      <c r="AF35" t="s">
        <v>202</v>
      </c>
      <c r="AG35" t="s">
        <v>68</v>
      </c>
      <c r="AH35" t="s">
        <v>191</v>
      </c>
      <c r="AI35" t="s">
        <v>203</v>
      </c>
      <c r="AJ35" t="s">
        <v>71</v>
      </c>
      <c r="AK35" t="s">
        <v>72</v>
      </c>
      <c r="AL35" t="s">
        <v>81</v>
      </c>
      <c r="AM35" t="s">
        <v>207</v>
      </c>
      <c r="AN35" t="s">
        <v>57</v>
      </c>
      <c r="AO35" t="s">
        <v>57</v>
      </c>
      <c r="AP35" t="s">
        <v>75</v>
      </c>
      <c r="AQ35" t="s">
        <v>66</v>
      </c>
    </row>
    <row r="36" spans="1:43">
      <c r="A36" t="s">
        <v>205</v>
      </c>
      <c r="B36" t="s">
        <v>196</v>
      </c>
      <c r="C36" t="s">
        <v>197</v>
      </c>
      <c r="D36" t="s">
        <v>46</v>
      </c>
      <c r="E36" t="s">
        <v>47</v>
      </c>
      <c r="F36" t="s">
        <v>206</v>
      </c>
      <c r="G36" t="s">
        <v>49</v>
      </c>
      <c r="H36" t="s">
        <v>199</v>
      </c>
      <c r="I36" t="s">
        <v>51</v>
      </c>
      <c r="J36" t="s">
        <v>52</v>
      </c>
      <c r="K36" t="s">
        <v>53</v>
      </c>
      <c r="L36" t="s">
        <v>54</v>
      </c>
      <c r="M36" t="s">
        <v>55</v>
      </c>
      <c r="N36" t="s">
        <v>56</v>
      </c>
      <c r="O36" t="s">
        <v>57</v>
      </c>
      <c r="P36" t="s">
        <v>58</v>
      </c>
      <c r="Q36" t="s">
        <v>76</v>
      </c>
      <c r="R36" t="s">
        <v>60</v>
      </c>
      <c r="S36" t="s">
        <v>61</v>
      </c>
      <c r="T36" t="s">
        <v>62</v>
      </c>
      <c r="U36" t="s">
        <v>63</v>
      </c>
      <c r="V36" t="s">
        <v>63</v>
      </c>
      <c r="W36" t="s">
        <v>64</v>
      </c>
      <c r="X36" t="s">
        <v>57</v>
      </c>
      <c r="Y36" t="s">
        <v>57</v>
      </c>
      <c r="Z36" t="s">
        <v>201</v>
      </c>
      <c r="AA36" t="s">
        <v>197</v>
      </c>
      <c r="AB36" t="s">
        <v>63</v>
      </c>
      <c r="AC36" t="s">
        <v>63</v>
      </c>
      <c r="AD36" t="s">
        <v>66</v>
      </c>
      <c r="AE36" t="s">
        <v>57</v>
      </c>
      <c r="AF36" t="s">
        <v>202</v>
      </c>
      <c r="AG36" t="s">
        <v>68</v>
      </c>
      <c r="AH36" t="s">
        <v>191</v>
      </c>
      <c r="AI36" t="s">
        <v>203</v>
      </c>
      <c r="AJ36" t="s">
        <v>71</v>
      </c>
      <c r="AK36" t="s">
        <v>72</v>
      </c>
      <c r="AL36" t="s">
        <v>81</v>
      </c>
      <c r="AM36" t="s">
        <v>207</v>
      </c>
      <c r="AN36" t="s">
        <v>57</v>
      </c>
      <c r="AO36" t="s">
        <v>57</v>
      </c>
      <c r="AP36" t="s">
        <v>75</v>
      </c>
      <c r="AQ36" t="s">
        <v>66</v>
      </c>
    </row>
    <row r="37" spans="1:43">
      <c r="A37" t="s">
        <v>208</v>
      </c>
      <c r="B37" t="s">
        <v>209</v>
      </c>
      <c r="C37" t="s">
        <v>210</v>
      </c>
      <c r="D37" t="s">
        <v>46</v>
      </c>
      <c r="E37" t="s">
        <v>47</v>
      </c>
      <c r="F37" t="s">
        <v>211</v>
      </c>
      <c r="G37" t="s">
        <v>87</v>
      </c>
      <c r="H37" t="s">
        <v>212</v>
      </c>
      <c r="I37" t="s">
        <v>51</v>
      </c>
      <c r="J37" t="s">
        <v>52</v>
      </c>
      <c r="K37" t="s">
        <v>53</v>
      </c>
      <c r="L37" t="s">
        <v>54</v>
      </c>
      <c r="M37" t="s">
        <v>55</v>
      </c>
      <c r="N37" t="s">
        <v>56</v>
      </c>
      <c r="O37" t="s">
        <v>57</v>
      </c>
      <c r="P37" t="s">
        <v>58</v>
      </c>
      <c r="Q37" t="s">
        <v>97</v>
      </c>
      <c r="R37" t="s">
        <v>213</v>
      </c>
      <c r="S37" t="s">
        <v>61</v>
      </c>
      <c r="T37" t="s">
        <v>62</v>
      </c>
      <c r="U37" t="s">
        <v>63</v>
      </c>
      <c r="V37" t="s">
        <v>63</v>
      </c>
      <c r="W37" t="s">
        <v>64</v>
      </c>
      <c r="X37" t="s">
        <v>57</v>
      </c>
      <c r="Y37" t="s">
        <v>57</v>
      </c>
      <c r="Z37" t="s">
        <v>214</v>
      </c>
      <c r="AA37" t="s">
        <v>210</v>
      </c>
      <c r="AB37" t="s">
        <v>63</v>
      </c>
      <c r="AC37" t="s">
        <v>63</v>
      </c>
      <c r="AD37" t="s">
        <v>66</v>
      </c>
      <c r="AE37" t="s">
        <v>57</v>
      </c>
      <c r="AF37" t="s">
        <v>215</v>
      </c>
      <c r="AG37" t="s">
        <v>68</v>
      </c>
      <c r="AH37" t="s">
        <v>191</v>
      </c>
      <c r="AI37" t="s">
        <v>216</v>
      </c>
      <c r="AJ37" t="s">
        <v>71</v>
      </c>
      <c r="AK37" t="s">
        <v>72</v>
      </c>
      <c r="AL37" t="s">
        <v>81</v>
      </c>
      <c r="AM37" t="s">
        <v>217</v>
      </c>
      <c r="AN37" t="s">
        <v>57</v>
      </c>
      <c r="AO37" t="s">
        <v>57</v>
      </c>
      <c r="AP37" t="s">
        <v>75</v>
      </c>
      <c r="AQ37" t="s">
        <v>66</v>
      </c>
    </row>
    <row r="38" spans="1:43">
      <c r="A38" t="s">
        <v>208</v>
      </c>
      <c r="B38" t="s">
        <v>209</v>
      </c>
      <c r="C38" t="s">
        <v>210</v>
      </c>
      <c r="D38" t="s">
        <v>46</v>
      </c>
      <c r="E38" t="s">
        <v>47</v>
      </c>
      <c r="F38" t="s">
        <v>211</v>
      </c>
      <c r="G38" t="s">
        <v>87</v>
      </c>
      <c r="H38" t="s">
        <v>212</v>
      </c>
      <c r="I38" t="s">
        <v>51</v>
      </c>
      <c r="J38" t="s">
        <v>52</v>
      </c>
      <c r="K38" t="s">
        <v>53</v>
      </c>
      <c r="L38" t="s">
        <v>54</v>
      </c>
      <c r="M38" t="s">
        <v>55</v>
      </c>
      <c r="N38" t="s">
        <v>56</v>
      </c>
      <c r="O38" t="s">
        <v>57</v>
      </c>
      <c r="P38" t="s">
        <v>58</v>
      </c>
      <c r="Q38" t="s">
        <v>76</v>
      </c>
      <c r="R38" t="s">
        <v>213</v>
      </c>
      <c r="S38" t="s">
        <v>61</v>
      </c>
      <c r="T38" t="s">
        <v>62</v>
      </c>
      <c r="U38" t="s">
        <v>63</v>
      </c>
      <c r="V38" t="s">
        <v>63</v>
      </c>
      <c r="W38" t="s">
        <v>64</v>
      </c>
      <c r="X38" t="s">
        <v>57</v>
      </c>
      <c r="Y38" t="s">
        <v>57</v>
      </c>
      <c r="Z38" t="s">
        <v>214</v>
      </c>
      <c r="AA38" t="s">
        <v>210</v>
      </c>
      <c r="AB38" t="s">
        <v>63</v>
      </c>
      <c r="AC38" t="s">
        <v>63</v>
      </c>
      <c r="AD38" t="s">
        <v>66</v>
      </c>
      <c r="AE38" t="s">
        <v>57</v>
      </c>
      <c r="AF38" t="s">
        <v>215</v>
      </c>
      <c r="AG38" t="s">
        <v>68</v>
      </c>
      <c r="AH38" t="s">
        <v>191</v>
      </c>
      <c r="AI38" t="s">
        <v>216</v>
      </c>
      <c r="AJ38" t="s">
        <v>71</v>
      </c>
      <c r="AK38" t="s">
        <v>72</v>
      </c>
      <c r="AL38" t="s">
        <v>81</v>
      </c>
      <c r="AM38" t="s">
        <v>217</v>
      </c>
      <c r="AN38" t="s">
        <v>57</v>
      </c>
      <c r="AO38" t="s">
        <v>57</v>
      </c>
      <c r="AP38" t="s">
        <v>75</v>
      </c>
      <c r="AQ38" t="s">
        <v>66</v>
      </c>
    </row>
    <row r="39" spans="1:43">
      <c r="A39" t="s">
        <v>218</v>
      </c>
      <c r="B39" t="s">
        <v>219</v>
      </c>
      <c r="C39" t="s">
        <v>220</v>
      </c>
      <c r="D39" t="s">
        <v>46</v>
      </c>
      <c r="E39" t="s">
        <v>47</v>
      </c>
      <c r="F39" t="s">
        <v>221</v>
      </c>
      <c r="G39" t="s">
        <v>185</v>
      </c>
      <c r="H39" t="s">
        <v>222</v>
      </c>
      <c r="I39" t="s">
        <v>89</v>
      </c>
      <c r="J39" t="s">
        <v>52</v>
      </c>
      <c r="K39" t="s">
        <v>53</v>
      </c>
      <c r="L39" t="s">
        <v>54</v>
      </c>
      <c r="M39" t="s">
        <v>55</v>
      </c>
      <c r="N39" t="s">
        <v>56</v>
      </c>
      <c r="O39" t="s">
        <v>57</v>
      </c>
      <c r="P39" t="s">
        <v>58</v>
      </c>
      <c r="Q39" t="s">
        <v>97</v>
      </c>
      <c r="R39" t="s">
        <v>223</v>
      </c>
      <c r="S39" t="s">
        <v>61</v>
      </c>
      <c r="T39" t="s">
        <v>62</v>
      </c>
      <c r="U39" t="s">
        <v>63</v>
      </c>
      <c r="V39" t="s">
        <v>63</v>
      </c>
      <c r="W39" t="s">
        <v>151</v>
      </c>
      <c r="X39" t="s">
        <v>224</v>
      </c>
      <c r="Y39" t="s">
        <v>57</v>
      </c>
      <c r="Z39" t="s">
        <v>225</v>
      </c>
      <c r="AA39" t="s">
        <v>226</v>
      </c>
      <c r="AB39" t="s">
        <v>63</v>
      </c>
      <c r="AC39" t="s">
        <v>63</v>
      </c>
      <c r="AD39" t="s">
        <v>66</v>
      </c>
      <c r="AE39" t="s">
        <v>57</v>
      </c>
      <c r="AF39" t="s">
        <v>227</v>
      </c>
      <c r="AG39" t="s">
        <v>68</v>
      </c>
      <c r="AH39" t="s">
        <v>191</v>
      </c>
      <c r="AI39" t="s">
        <v>228</v>
      </c>
      <c r="AJ39" t="s">
        <v>71</v>
      </c>
      <c r="AK39" t="s">
        <v>72</v>
      </c>
      <c r="AL39" t="s">
        <v>229</v>
      </c>
      <c r="AM39" t="s">
        <v>230</v>
      </c>
      <c r="AN39" t="s">
        <v>57</v>
      </c>
      <c r="AO39" t="s">
        <v>57</v>
      </c>
      <c r="AP39" t="s">
        <v>75</v>
      </c>
      <c r="AQ39" t="s">
        <v>75</v>
      </c>
    </row>
    <row r="40" spans="1:43">
      <c r="A40" t="s">
        <v>218</v>
      </c>
      <c r="B40" t="s">
        <v>219</v>
      </c>
      <c r="C40" t="s">
        <v>220</v>
      </c>
      <c r="D40" t="s">
        <v>46</v>
      </c>
      <c r="E40" t="s">
        <v>47</v>
      </c>
      <c r="F40" t="s">
        <v>221</v>
      </c>
      <c r="G40" t="s">
        <v>185</v>
      </c>
      <c r="H40" t="s">
        <v>222</v>
      </c>
      <c r="I40" t="s">
        <v>89</v>
      </c>
      <c r="J40" t="s">
        <v>52</v>
      </c>
      <c r="K40" t="s">
        <v>53</v>
      </c>
      <c r="L40" t="s">
        <v>54</v>
      </c>
      <c r="M40" t="s">
        <v>55</v>
      </c>
      <c r="N40" t="s">
        <v>56</v>
      </c>
      <c r="O40" t="s">
        <v>57</v>
      </c>
      <c r="P40" t="s">
        <v>58</v>
      </c>
      <c r="Q40" t="s">
        <v>149</v>
      </c>
      <c r="R40" t="s">
        <v>223</v>
      </c>
      <c r="S40" t="s">
        <v>61</v>
      </c>
      <c r="T40" t="s">
        <v>62</v>
      </c>
      <c r="U40" t="s">
        <v>63</v>
      </c>
      <c r="V40" t="s">
        <v>63</v>
      </c>
      <c r="W40" t="s">
        <v>151</v>
      </c>
      <c r="X40" t="s">
        <v>224</v>
      </c>
      <c r="Y40" t="s">
        <v>57</v>
      </c>
      <c r="Z40" t="s">
        <v>225</v>
      </c>
      <c r="AA40" t="s">
        <v>226</v>
      </c>
      <c r="AB40" t="s">
        <v>63</v>
      </c>
      <c r="AC40" t="s">
        <v>63</v>
      </c>
      <c r="AD40" t="s">
        <v>66</v>
      </c>
      <c r="AE40" t="s">
        <v>57</v>
      </c>
      <c r="AF40" t="s">
        <v>227</v>
      </c>
      <c r="AG40" t="s">
        <v>68</v>
      </c>
      <c r="AH40" t="s">
        <v>191</v>
      </c>
      <c r="AI40" t="s">
        <v>228</v>
      </c>
      <c r="AJ40" t="s">
        <v>71</v>
      </c>
      <c r="AK40" t="s">
        <v>72</v>
      </c>
      <c r="AL40" t="s">
        <v>229</v>
      </c>
      <c r="AM40" t="s">
        <v>230</v>
      </c>
      <c r="AN40" t="s">
        <v>57</v>
      </c>
      <c r="AO40" t="s">
        <v>57</v>
      </c>
      <c r="AP40" t="s">
        <v>75</v>
      </c>
      <c r="AQ40" t="s">
        <v>75</v>
      </c>
    </row>
    <row r="41" spans="1:43">
      <c r="A41" t="s">
        <v>231</v>
      </c>
      <c r="B41" t="s">
        <v>232</v>
      </c>
      <c r="C41" t="s">
        <v>233</v>
      </c>
      <c r="D41" t="s">
        <v>46</v>
      </c>
      <c r="E41" t="s">
        <v>47</v>
      </c>
      <c r="F41" t="s">
        <v>234</v>
      </c>
      <c r="G41" t="s">
        <v>185</v>
      </c>
      <c r="H41" t="s">
        <v>235</v>
      </c>
      <c r="I41" t="s">
        <v>51</v>
      </c>
      <c r="J41" t="s">
        <v>52</v>
      </c>
      <c r="K41" t="s">
        <v>53</v>
      </c>
      <c r="L41" t="s">
        <v>54</v>
      </c>
      <c r="M41" t="s">
        <v>55</v>
      </c>
      <c r="N41" t="s">
        <v>56</v>
      </c>
      <c r="O41" t="s">
        <v>57</v>
      </c>
      <c r="P41" t="s">
        <v>58</v>
      </c>
      <c r="Q41" t="s">
        <v>97</v>
      </c>
      <c r="R41" t="s">
        <v>187</v>
      </c>
      <c r="S41" t="s">
        <v>61</v>
      </c>
      <c r="T41" t="s">
        <v>62</v>
      </c>
      <c r="U41" t="s">
        <v>63</v>
      </c>
      <c r="V41" t="s">
        <v>63</v>
      </c>
      <c r="W41" t="s">
        <v>151</v>
      </c>
      <c r="X41" t="s">
        <v>236</v>
      </c>
      <c r="Y41" t="s">
        <v>57</v>
      </c>
      <c r="Z41" t="s">
        <v>237</v>
      </c>
      <c r="AA41" t="s">
        <v>238</v>
      </c>
      <c r="AB41" t="s">
        <v>63</v>
      </c>
      <c r="AC41" t="s">
        <v>63</v>
      </c>
      <c r="AD41" t="s">
        <v>66</v>
      </c>
      <c r="AE41" t="s">
        <v>57</v>
      </c>
      <c r="AF41" t="s">
        <v>239</v>
      </c>
      <c r="AG41" t="s">
        <v>68</v>
      </c>
      <c r="AH41" t="s">
        <v>191</v>
      </c>
      <c r="AI41" t="s">
        <v>240</v>
      </c>
      <c r="AJ41" t="s">
        <v>71</v>
      </c>
      <c r="AK41" t="s">
        <v>72</v>
      </c>
      <c r="AL41" t="s">
        <v>241</v>
      </c>
      <c r="AM41" t="s">
        <v>242</v>
      </c>
      <c r="AN41" t="s">
        <v>57</v>
      </c>
      <c r="AO41" t="s">
        <v>57</v>
      </c>
      <c r="AP41" t="s">
        <v>66</v>
      </c>
      <c r="AQ41" t="s">
        <v>66</v>
      </c>
    </row>
    <row r="42" spans="1:43">
      <c r="A42" t="s">
        <v>231</v>
      </c>
      <c r="B42" t="s">
        <v>232</v>
      </c>
      <c r="C42" t="s">
        <v>233</v>
      </c>
      <c r="D42" t="s">
        <v>46</v>
      </c>
      <c r="E42" t="s">
        <v>47</v>
      </c>
      <c r="F42" t="s">
        <v>234</v>
      </c>
      <c r="G42" t="s">
        <v>185</v>
      </c>
      <c r="H42" t="s">
        <v>235</v>
      </c>
      <c r="I42" t="s">
        <v>51</v>
      </c>
      <c r="J42" t="s">
        <v>52</v>
      </c>
      <c r="K42" t="s">
        <v>53</v>
      </c>
      <c r="L42" t="s">
        <v>54</v>
      </c>
      <c r="M42" t="s">
        <v>55</v>
      </c>
      <c r="N42" t="s">
        <v>56</v>
      </c>
      <c r="O42" t="s">
        <v>57</v>
      </c>
      <c r="P42" t="s">
        <v>58</v>
      </c>
      <c r="Q42" t="s">
        <v>149</v>
      </c>
      <c r="R42" t="s">
        <v>187</v>
      </c>
      <c r="S42" t="s">
        <v>61</v>
      </c>
      <c r="T42" t="s">
        <v>62</v>
      </c>
      <c r="U42" t="s">
        <v>63</v>
      </c>
      <c r="V42" t="s">
        <v>63</v>
      </c>
      <c r="W42" t="s">
        <v>151</v>
      </c>
      <c r="X42" t="s">
        <v>236</v>
      </c>
      <c r="Y42" t="s">
        <v>57</v>
      </c>
      <c r="Z42" t="s">
        <v>237</v>
      </c>
      <c r="AA42" t="s">
        <v>238</v>
      </c>
      <c r="AB42" t="s">
        <v>63</v>
      </c>
      <c r="AC42" t="s">
        <v>63</v>
      </c>
      <c r="AD42" t="s">
        <v>66</v>
      </c>
      <c r="AE42" t="s">
        <v>57</v>
      </c>
      <c r="AF42" t="s">
        <v>239</v>
      </c>
      <c r="AG42" t="s">
        <v>68</v>
      </c>
      <c r="AH42" t="s">
        <v>191</v>
      </c>
      <c r="AI42" t="s">
        <v>240</v>
      </c>
      <c r="AJ42" t="s">
        <v>71</v>
      </c>
      <c r="AK42" t="s">
        <v>72</v>
      </c>
      <c r="AL42" t="s">
        <v>241</v>
      </c>
      <c r="AM42" t="s">
        <v>242</v>
      </c>
      <c r="AN42" t="s">
        <v>57</v>
      </c>
      <c r="AO42" t="s">
        <v>57</v>
      </c>
      <c r="AP42" t="s">
        <v>66</v>
      </c>
      <c r="AQ42" t="s">
        <v>66</v>
      </c>
    </row>
    <row r="43" spans="1:43">
      <c r="A43" t="s">
        <v>231</v>
      </c>
      <c r="B43" t="s">
        <v>232</v>
      </c>
      <c r="C43" t="s">
        <v>233</v>
      </c>
      <c r="D43" t="s">
        <v>46</v>
      </c>
      <c r="E43" t="s">
        <v>47</v>
      </c>
      <c r="F43" t="s">
        <v>234</v>
      </c>
      <c r="G43" t="s">
        <v>185</v>
      </c>
      <c r="H43" t="s">
        <v>235</v>
      </c>
      <c r="I43" t="s">
        <v>51</v>
      </c>
      <c r="J43" t="s">
        <v>52</v>
      </c>
      <c r="K43" t="s">
        <v>53</v>
      </c>
      <c r="L43" t="s">
        <v>54</v>
      </c>
      <c r="M43" t="s">
        <v>55</v>
      </c>
      <c r="N43" t="s">
        <v>56</v>
      </c>
      <c r="O43" t="s">
        <v>57</v>
      </c>
      <c r="P43" t="s">
        <v>58</v>
      </c>
      <c r="Q43" t="s">
        <v>77</v>
      </c>
      <c r="R43" t="s">
        <v>187</v>
      </c>
      <c r="S43" t="s">
        <v>61</v>
      </c>
      <c r="T43" t="s">
        <v>62</v>
      </c>
      <c r="U43" t="s">
        <v>63</v>
      </c>
      <c r="V43" t="s">
        <v>63</v>
      </c>
      <c r="W43" t="s">
        <v>151</v>
      </c>
      <c r="X43" t="s">
        <v>236</v>
      </c>
      <c r="Y43" t="s">
        <v>57</v>
      </c>
      <c r="Z43" t="s">
        <v>237</v>
      </c>
      <c r="AA43" t="s">
        <v>238</v>
      </c>
      <c r="AB43" t="s">
        <v>63</v>
      </c>
      <c r="AC43" t="s">
        <v>63</v>
      </c>
      <c r="AD43" t="s">
        <v>66</v>
      </c>
      <c r="AE43" t="s">
        <v>57</v>
      </c>
      <c r="AF43" t="s">
        <v>239</v>
      </c>
      <c r="AG43" t="s">
        <v>68</v>
      </c>
      <c r="AH43" t="s">
        <v>191</v>
      </c>
      <c r="AI43" t="s">
        <v>240</v>
      </c>
      <c r="AJ43" t="s">
        <v>71</v>
      </c>
      <c r="AK43" t="s">
        <v>72</v>
      </c>
      <c r="AL43" t="s">
        <v>241</v>
      </c>
      <c r="AM43" t="s">
        <v>242</v>
      </c>
      <c r="AN43" t="s">
        <v>57</v>
      </c>
      <c r="AO43" t="s">
        <v>57</v>
      </c>
      <c r="AP43" t="s">
        <v>66</v>
      </c>
      <c r="AQ43" t="s">
        <v>66</v>
      </c>
    </row>
    <row r="44" spans="1:43">
      <c r="A44" t="s">
        <v>243</v>
      </c>
      <c r="B44" t="s">
        <v>244</v>
      </c>
      <c r="C44" t="s">
        <v>245</v>
      </c>
      <c r="D44" t="s">
        <v>46</v>
      </c>
      <c r="E44" t="s">
        <v>47</v>
      </c>
      <c r="F44" t="s">
        <v>246</v>
      </c>
      <c r="G44" t="s">
        <v>247</v>
      </c>
      <c r="H44" t="s">
        <v>248</v>
      </c>
      <c r="I44" t="s">
        <v>51</v>
      </c>
      <c r="J44" t="s">
        <v>52</v>
      </c>
      <c r="K44" t="s">
        <v>53</v>
      </c>
      <c r="L44" t="s">
        <v>54</v>
      </c>
      <c r="M44" t="s">
        <v>55</v>
      </c>
      <c r="N44" t="s">
        <v>56</v>
      </c>
      <c r="O44" t="s">
        <v>57</v>
      </c>
      <c r="P44" t="s">
        <v>58</v>
      </c>
      <c r="Q44" t="s">
        <v>77</v>
      </c>
      <c r="R44" t="s">
        <v>249</v>
      </c>
      <c r="S44" t="s">
        <v>61</v>
      </c>
      <c r="T44" t="s">
        <v>62</v>
      </c>
      <c r="U44" t="s">
        <v>63</v>
      </c>
      <c r="V44" t="s">
        <v>63</v>
      </c>
      <c r="W44" t="s">
        <v>151</v>
      </c>
      <c r="X44" t="s">
        <v>250</v>
      </c>
      <c r="Y44" t="s">
        <v>57</v>
      </c>
      <c r="Z44" t="s">
        <v>251</v>
      </c>
      <c r="AA44" t="s">
        <v>245</v>
      </c>
      <c r="AB44" t="s">
        <v>63</v>
      </c>
      <c r="AC44" t="s">
        <v>63</v>
      </c>
      <c r="AD44" t="s">
        <v>66</v>
      </c>
      <c r="AE44" t="s">
        <v>57</v>
      </c>
      <c r="AF44" t="s">
        <v>252</v>
      </c>
      <c r="AG44" t="s">
        <v>68</v>
      </c>
      <c r="AH44" t="s">
        <v>191</v>
      </c>
      <c r="AI44" t="s">
        <v>253</v>
      </c>
      <c r="AJ44" t="s">
        <v>71</v>
      </c>
      <c r="AK44" t="s">
        <v>72</v>
      </c>
      <c r="AL44" t="s">
        <v>254</v>
      </c>
      <c r="AM44" t="s">
        <v>255</v>
      </c>
      <c r="AN44" t="s">
        <v>57</v>
      </c>
      <c r="AO44" t="s">
        <v>57</v>
      </c>
      <c r="AP44" t="s">
        <v>75</v>
      </c>
      <c r="AQ44" t="s">
        <v>66</v>
      </c>
    </row>
    <row r="45" spans="1:43">
      <c r="A45" t="s">
        <v>243</v>
      </c>
      <c r="B45" t="s">
        <v>244</v>
      </c>
      <c r="C45" t="s">
        <v>245</v>
      </c>
      <c r="D45" t="s">
        <v>46</v>
      </c>
      <c r="E45" t="s">
        <v>47</v>
      </c>
      <c r="F45" t="s">
        <v>246</v>
      </c>
      <c r="G45" t="s">
        <v>247</v>
      </c>
      <c r="H45" t="s">
        <v>248</v>
      </c>
      <c r="I45" t="s">
        <v>51</v>
      </c>
      <c r="J45" t="s">
        <v>52</v>
      </c>
      <c r="K45" t="s">
        <v>53</v>
      </c>
      <c r="L45" t="s">
        <v>54</v>
      </c>
      <c r="M45" t="s">
        <v>55</v>
      </c>
      <c r="N45" t="s">
        <v>56</v>
      </c>
      <c r="O45" t="s">
        <v>57</v>
      </c>
      <c r="P45" t="s">
        <v>58</v>
      </c>
      <c r="Q45" t="s">
        <v>149</v>
      </c>
      <c r="R45" t="s">
        <v>249</v>
      </c>
      <c r="S45" t="s">
        <v>61</v>
      </c>
      <c r="T45" t="s">
        <v>62</v>
      </c>
      <c r="U45" t="s">
        <v>63</v>
      </c>
      <c r="V45" t="s">
        <v>63</v>
      </c>
      <c r="W45" t="s">
        <v>151</v>
      </c>
      <c r="X45" t="s">
        <v>250</v>
      </c>
      <c r="Y45" t="s">
        <v>57</v>
      </c>
      <c r="Z45" t="s">
        <v>251</v>
      </c>
      <c r="AA45" t="s">
        <v>245</v>
      </c>
      <c r="AB45" t="s">
        <v>63</v>
      </c>
      <c r="AC45" t="s">
        <v>63</v>
      </c>
      <c r="AD45" t="s">
        <v>66</v>
      </c>
      <c r="AE45" t="s">
        <v>57</v>
      </c>
      <c r="AF45" t="s">
        <v>252</v>
      </c>
      <c r="AG45" t="s">
        <v>68</v>
      </c>
      <c r="AH45" t="s">
        <v>191</v>
      </c>
      <c r="AI45" t="s">
        <v>253</v>
      </c>
      <c r="AJ45" t="s">
        <v>71</v>
      </c>
      <c r="AK45" t="s">
        <v>72</v>
      </c>
      <c r="AL45" t="s">
        <v>254</v>
      </c>
      <c r="AM45" t="s">
        <v>255</v>
      </c>
      <c r="AN45" t="s">
        <v>57</v>
      </c>
      <c r="AO45" t="s">
        <v>57</v>
      </c>
      <c r="AP45" t="s">
        <v>75</v>
      </c>
      <c r="AQ45" t="s">
        <v>66</v>
      </c>
    </row>
    <row r="46" spans="1:43">
      <c r="A46" t="s">
        <v>243</v>
      </c>
      <c r="B46" t="s">
        <v>244</v>
      </c>
      <c r="C46" t="s">
        <v>245</v>
      </c>
      <c r="D46" t="s">
        <v>46</v>
      </c>
      <c r="E46" t="s">
        <v>47</v>
      </c>
      <c r="F46" t="s">
        <v>246</v>
      </c>
      <c r="G46" t="s">
        <v>247</v>
      </c>
      <c r="H46" t="s">
        <v>248</v>
      </c>
      <c r="I46" t="s">
        <v>51</v>
      </c>
      <c r="J46" t="s">
        <v>52</v>
      </c>
      <c r="K46" t="s">
        <v>53</v>
      </c>
      <c r="L46" t="s">
        <v>54</v>
      </c>
      <c r="M46" t="s">
        <v>55</v>
      </c>
      <c r="N46" t="s">
        <v>56</v>
      </c>
      <c r="O46" t="s">
        <v>57</v>
      </c>
      <c r="P46" t="s">
        <v>58</v>
      </c>
      <c r="Q46" t="s">
        <v>97</v>
      </c>
      <c r="R46" t="s">
        <v>249</v>
      </c>
      <c r="S46" t="s">
        <v>61</v>
      </c>
      <c r="T46" t="s">
        <v>62</v>
      </c>
      <c r="U46" t="s">
        <v>63</v>
      </c>
      <c r="V46" t="s">
        <v>63</v>
      </c>
      <c r="W46" t="s">
        <v>151</v>
      </c>
      <c r="X46" t="s">
        <v>250</v>
      </c>
      <c r="Y46" t="s">
        <v>57</v>
      </c>
      <c r="Z46" t="s">
        <v>251</v>
      </c>
      <c r="AA46" t="s">
        <v>245</v>
      </c>
      <c r="AB46" t="s">
        <v>63</v>
      </c>
      <c r="AC46" t="s">
        <v>63</v>
      </c>
      <c r="AD46" t="s">
        <v>66</v>
      </c>
      <c r="AE46" t="s">
        <v>57</v>
      </c>
      <c r="AF46" t="s">
        <v>252</v>
      </c>
      <c r="AG46" t="s">
        <v>68</v>
      </c>
      <c r="AH46" t="s">
        <v>191</v>
      </c>
      <c r="AI46" t="s">
        <v>253</v>
      </c>
      <c r="AJ46" t="s">
        <v>71</v>
      </c>
      <c r="AK46" t="s">
        <v>72</v>
      </c>
      <c r="AL46" t="s">
        <v>254</v>
      </c>
      <c r="AM46" t="s">
        <v>255</v>
      </c>
      <c r="AN46" t="s">
        <v>57</v>
      </c>
      <c r="AO46" t="s">
        <v>57</v>
      </c>
      <c r="AP46" t="s">
        <v>75</v>
      </c>
      <c r="AQ46" t="s">
        <v>66</v>
      </c>
    </row>
    <row r="47" spans="1:43">
      <c r="A47" t="s">
        <v>256</v>
      </c>
      <c r="B47" t="s">
        <v>182</v>
      </c>
      <c r="C47" t="s">
        <v>257</v>
      </c>
      <c r="D47" t="s">
        <v>46</v>
      </c>
      <c r="E47" t="s">
        <v>47</v>
      </c>
      <c r="F47" t="s">
        <v>258</v>
      </c>
      <c r="G47" t="s">
        <v>80</v>
      </c>
      <c r="H47" t="s">
        <v>259</v>
      </c>
      <c r="I47" t="s">
        <v>89</v>
      </c>
      <c r="J47" t="s">
        <v>52</v>
      </c>
      <c r="K47" t="s">
        <v>53</v>
      </c>
      <c r="L47" t="s">
        <v>54</v>
      </c>
      <c r="M47" t="s">
        <v>55</v>
      </c>
      <c r="N47" t="s">
        <v>56</v>
      </c>
      <c r="O47" t="s">
        <v>57</v>
      </c>
      <c r="P47" t="s">
        <v>58</v>
      </c>
      <c r="Q47" t="s">
        <v>59</v>
      </c>
      <c r="R47" t="s">
        <v>126</v>
      </c>
      <c r="S47" t="s">
        <v>61</v>
      </c>
      <c r="T47" t="s">
        <v>62</v>
      </c>
      <c r="U47" t="s">
        <v>63</v>
      </c>
      <c r="V47" t="s">
        <v>63</v>
      </c>
      <c r="W47" t="s">
        <v>64</v>
      </c>
      <c r="X47" t="s">
        <v>57</v>
      </c>
      <c r="Y47" t="s">
        <v>57</v>
      </c>
      <c r="Z47" t="s">
        <v>260</v>
      </c>
      <c r="AA47" t="s">
        <v>257</v>
      </c>
      <c r="AB47" t="s">
        <v>63</v>
      </c>
      <c r="AC47" t="s">
        <v>63</v>
      </c>
      <c r="AD47" t="s">
        <v>66</v>
      </c>
      <c r="AE47" t="s">
        <v>57</v>
      </c>
      <c r="AF47" t="s">
        <v>261</v>
      </c>
      <c r="AG47" t="s">
        <v>68</v>
      </c>
      <c r="AH47" t="s">
        <v>191</v>
      </c>
      <c r="AI47" t="s">
        <v>262</v>
      </c>
      <c r="AJ47" t="s">
        <v>71</v>
      </c>
      <c r="AK47" t="s">
        <v>72</v>
      </c>
      <c r="AL47" t="s">
        <v>81</v>
      </c>
      <c r="AM47" t="s">
        <v>263</v>
      </c>
      <c r="AN47" t="s">
        <v>57</v>
      </c>
      <c r="AO47" t="s">
        <v>57</v>
      </c>
      <c r="AP47" t="s">
        <v>75</v>
      </c>
      <c r="AQ47" t="s">
        <v>66</v>
      </c>
    </row>
    <row r="48" spans="1:43">
      <c r="A48" t="s">
        <v>256</v>
      </c>
      <c r="B48" t="s">
        <v>182</v>
      </c>
      <c r="C48" t="s">
        <v>257</v>
      </c>
      <c r="D48" t="s">
        <v>46</v>
      </c>
      <c r="E48" t="s">
        <v>47</v>
      </c>
      <c r="F48" t="s">
        <v>258</v>
      </c>
      <c r="G48" t="s">
        <v>80</v>
      </c>
      <c r="H48" t="s">
        <v>259</v>
      </c>
      <c r="I48" t="s">
        <v>89</v>
      </c>
      <c r="J48" t="s">
        <v>52</v>
      </c>
      <c r="K48" t="s">
        <v>53</v>
      </c>
      <c r="L48" t="s">
        <v>54</v>
      </c>
      <c r="M48" t="s">
        <v>55</v>
      </c>
      <c r="N48" t="s">
        <v>56</v>
      </c>
      <c r="O48" t="s">
        <v>57</v>
      </c>
      <c r="P48" t="s">
        <v>58</v>
      </c>
      <c r="Q48" t="s">
        <v>76</v>
      </c>
      <c r="R48" t="s">
        <v>126</v>
      </c>
      <c r="S48" t="s">
        <v>61</v>
      </c>
      <c r="T48" t="s">
        <v>62</v>
      </c>
      <c r="U48" t="s">
        <v>63</v>
      </c>
      <c r="V48" t="s">
        <v>63</v>
      </c>
      <c r="W48" t="s">
        <v>64</v>
      </c>
      <c r="X48" t="s">
        <v>57</v>
      </c>
      <c r="Y48" t="s">
        <v>57</v>
      </c>
      <c r="Z48" t="s">
        <v>260</v>
      </c>
      <c r="AA48" t="s">
        <v>257</v>
      </c>
      <c r="AB48" t="s">
        <v>63</v>
      </c>
      <c r="AC48" t="s">
        <v>63</v>
      </c>
      <c r="AD48" t="s">
        <v>66</v>
      </c>
      <c r="AE48" t="s">
        <v>57</v>
      </c>
      <c r="AF48" t="s">
        <v>261</v>
      </c>
      <c r="AG48" t="s">
        <v>68</v>
      </c>
      <c r="AH48" t="s">
        <v>191</v>
      </c>
      <c r="AI48" t="s">
        <v>262</v>
      </c>
      <c r="AJ48" t="s">
        <v>71</v>
      </c>
      <c r="AK48" t="s">
        <v>72</v>
      </c>
      <c r="AL48" t="s">
        <v>81</v>
      </c>
      <c r="AM48" t="s">
        <v>263</v>
      </c>
      <c r="AN48" t="s">
        <v>57</v>
      </c>
      <c r="AO48" t="s">
        <v>57</v>
      </c>
      <c r="AP48" t="s">
        <v>75</v>
      </c>
      <c r="AQ48" t="s">
        <v>66</v>
      </c>
    </row>
    <row r="49" spans="1:43">
      <c r="A49" t="s">
        <v>256</v>
      </c>
      <c r="B49" t="s">
        <v>182</v>
      </c>
      <c r="C49" t="s">
        <v>257</v>
      </c>
      <c r="D49" t="s">
        <v>46</v>
      </c>
      <c r="E49" t="s">
        <v>47</v>
      </c>
      <c r="F49" t="s">
        <v>258</v>
      </c>
      <c r="G49" t="s">
        <v>80</v>
      </c>
      <c r="H49" t="s">
        <v>259</v>
      </c>
      <c r="I49" t="s">
        <v>89</v>
      </c>
      <c r="J49" t="s">
        <v>52</v>
      </c>
      <c r="K49" t="s">
        <v>53</v>
      </c>
      <c r="L49" t="s">
        <v>54</v>
      </c>
      <c r="M49" t="s">
        <v>55</v>
      </c>
      <c r="N49" t="s">
        <v>56</v>
      </c>
      <c r="O49" t="s">
        <v>57</v>
      </c>
      <c r="P49" t="s">
        <v>58</v>
      </c>
      <c r="Q49" t="s">
        <v>77</v>
      </c>
      <c r="R49" t="s">
        <v>126</v>
      </c>
      <c r="S49" t="s">
        <v>61</v>
      </c>
      <c r="T49" t="s">
        <v>62</v>
      </c>
      <c r="U49" t="s">
        <v>63</v>
      </c>
      <c r="V49" t="s">
        <v>63</v>
      </c>
      <c r="W49" t="s">
        <v>64</v>
      </c>
      <c r="X49" t="s">
        <v>57</v>
      </c>
      <c r="Y49" t="s">
        <v>57</v>
      </c>
      <c r="Z49" t="s">
        <v>260</v>
      </c>
      <c r="AA49" t="s">
        <v>257</v>
      </c>
      <c r="AB49" t="s">
        <v>63</v>
      </c>
      <c r="AC49" t="s">
        <v>63</v>
      </c>
      <c r="AD49" t="s">
        <v>66</v>
      </c>
      <c r="AE49" t="s">
        <v>57</v>
      </c>
      <c r="AF49" t="s">
        <v>261</v>
      </c>
      <c r="AG49" t="s">
        <v>68</v>
      </c>
      <c r="AH49" t="s">
        <v>191</v>
      </c>
      <c r="AI49" t="s">
        <v>262</v>
      </c>
      <c r="AJ49" t="s">
        <v>71</v>
      </c>
      <c r="AK49" t="s">
        <v>72</v>
      </c>
      <c r="AL49" t="s">
        <v>81</v>
      </c>
      <c r="AM49" t="s">
        <v>263</v>
      </c>
      <c r="AN49" t="s">
        <v>57</v>
      </c>
      <c r="AO49" t="s">
        <v>57</v>
      </c>
      <c r="AP49" t="s">
        <v>75</v>
      </c>
      <c r="AQ49" t="s">
        <v>66</v>
      </c>
    </row>
    <row r="50" spans="1:43">
      <c r="A50" t="s">
        <v>264</v>
      </c>
      <c r="B50" t="s">
        <v>265</v>
      </c>
      <c r="C50" t="s">
        <v>266</v>
      </c>
      <c r="D50" t="s">
        <v>46</v>
      </c>
      <c r="E50" t="s">
        <v>47</v>
      </c>
      <c r="F50" t="s">
        <v>267</v>
      </c>
      <c r="G50" t="s">
        <v>87</v>
      </c>
      <c r="H50" t="s">
        <v>268</v>
      </c>
      <c r="I50" t="s">
        <v>89</v>
      </c>
      <c r="J50" t="s">
        <v>52</v>
      </c>
      <c r="K50" t="s">
        <v>53</v>
      </c>
      <c r="L50" t="s">
        <v>54</v>
      </c>
      <c r="M50" t="s">
        <v>55</v>
      </c>
      <c r="N50" t="s">
        <v>56</v>
      </c>
      <c r="O50" t="s">
        <v>57</v>
      </c>
      <c r="P50" t="s">
        <v>58</v>
      </c>
      <c r="Q50" t="s">
        <v>76</v>
      </c>
      <c r="R50" t="s">
        <v>90</v>
      </c>
      <c r="S50" t="s">
        <v>61</v>
      </c>
      <c r="T50" t="s">
        <v>62</v>
      </c>
      <c r="U50" t="s">
        <v>63</v>
      </c>
      <c r="V50" t="s">
        <v>63</v>
      </c>
      <c r="W50" t="s">
        <v>64</v>
      </c>
      <c r="X50" t="s">
        <v>57</v>
      </c>
      <c r="Y50" t="s">
        <v>57</v>
      </c>
      <c r="Z50" t="s">
        <v>269</v>
      </c>
      <c r="AA50" t="s">
        <v>266</v>
      </c>
      <c r="AB50" t="s">
        <v>63</v>
      </c>
      <c r="AC50" t="s">
        <v>63</v>
      </c>
      <c r="AD50" t="s">
        <v>66</v>
      </c>
      <c r="AE50" t="s">
        <v>57</v>
      </c>
      <c r="AF50" t="s">
        <v>270</v>
      </c>
      <c r="AG50" t="s">
        <v>68</v>
      </c>
      <c r="AH50" t="s">
        <v>271</v>
      </c>
      <c r="AI50" t="s">
        <v>272</v>
      </c>
      <c r="AJ50" t="s">
        <v>71</v>
      </c>
      <c r="AK50" t="s">
        <v>72</v>
      </c>
      <c r="AL50" t="s">
        <v>81</v>
      </c>
      <c r="AM50" t="s">
        <v>273</v>
      </c>
      <c r="AN50" t="s">
        <v>57</v>
      </c>
      <c r="AO50" t="s">
        <v>57</v>
      </c>
      <c r="AP50" t="s">
        <v>75</v>
      </c>
      <c r="AQ50" t="s">
        <v>66</v>
      </c>
    </row>
    <row r="51" spans="1:43">
      <c r="A51" t="s">
        <v>264</v>
      </c>
      <c r="B51" t="s">
        <v>265</v>
      </c>
      <c r="C51" t="s">
        <v>266</v>
      </c>
      <c r="D51" t="s">
        <v>46</v>
      </c>
      <c r="E51" t="s">
        <v>47</v>
      </c>
      <c r="F51" t="s">
        <v>267</v>
      </c>
      <c r="G51" t="s">
        <v>87</v>
      </c>
      <c r="H51" t="s">
        <v>268</v>
      </c>
      <c r="I51" t="s">
        <v>89</v>
      </c>
      <c r="J51" t="s">
        <v>52</v>
      </c>
      <c r="K51" t="s">
        <v>53</v>
      </c>
      <c r="L51" t="s">
        <v>54</v>
      </c>
      <c r="M51" t="s">
        <v>55</v>
      </c>
      <c r="N51" t="s">
        <v>56</v>
      </c>
      <c r="O51" t="s">
        <v>57</v>
      </c>
      <c r="P51" t="s">
        <v>58</v>
      </c>
      <c r="Q51" t="s">
        <v>77</v>
      </c>
      <c r="R51" t="s">
        <v>90</v>
      </c>
      <c r="S51" t="s">
        <v>61</v>
      </c>
      <c r="T51" t="s">
        <v>62</v>
      </c>
      <c r="U51" t="s">
        <v>63</v>
      </c>
      <c r="V51" t="s">
        <v>63</v>
      </c>
      <c r="W51" t="s">
        <v>64</v>
      </c>
      <c r="X51" t="s">
        <v>57</v>
      </c>
      <c r="Y51" t="s">
        <v>57</v>
      </c>
      <c r="Z51" t="s">
        <v>269</v>
      </c>
      <c r="AA51" t="s">
        <v>266</v>
      </c>
      <c r="AB51" t="s">
        <v>63</v>
      </c>
      <c r="AC51" t="s">
        <v>63</v>
      </c>
      <c r="AD51" t="s">
        <v>66</v>
      </c>
      <c r="AE51" t="s">
        <v>57</v>
      </c>
      <c r="AF51" t="s">
        <v>270</v>
      </c>
      <c r="AG51" t="s">
        <v>68</v>
      </c>
      <c r="AH51" t="s">
        <v>271</v>
      </c>
      <c r="AI51" t="s">
        <v>272</v>
      </c>
      <c r="AJ51" t="s">
        <v>71</v>
      </c>
      <c r="AK51" t="s">
        <v>72</v>
      </c>
      <c r="AL51" t="s">
        <v>81</v>
      </c>
      <c r="AM51" t="s">
        <v>273</v>
      </c>
      <c r="AN51" t="s">
        <v>57</v>
      </c>
      <c r="AO51" t="s">
        <v>57</v>
      </c>
      <c r="AP51" t="s">
        <v>75</v>
      </c>
      <c r="AQ51" t="s">
        <v>66</v>
      </c>
    </row>
    <row r="52" spans="1:43">
      <c r="A52" t="s">
        <v>274</v>
      </c>
      <c r="B52" t="s">
        <v>275</v>
      </c>
      <c r="C52" t="s">
        <v>276</v>
      </c>
      <c r="D52" t="s">
        <v>46</v>
      </c>
      <c r="E52" t="s">
        <v>47</v>
      </c>
      <c r="F52" t="s">
        <v>277</v>
      </c>
      <c r="G52" t="s">
        <v>278</v>
      </c>
      <c r="H52" t="s">
        <v>279</v>
      </c>
      <c r="I52" t="s">
        <v>51</v>
      </c>
      <c r="J52" t="s">
        <v>52</v>
      </c>
      <c r="K52" t="s">
        <v>53</v>
      </c>
      <c r="L52" t="s">
        <v>54</v>
      </c>
      <c r="M52" t="s">
        <v>55</v>
      </c>
      <c r="N52" t="s">
        <v>56</v>
      </c>
      <c r="O52" t="s">
        <v>57</v>
      </c>
      <c r="P52" t="s">
        <v>58</v>
      </c>
      <c r="Q52" t="s">
        <v>97</v>
      </c>
      <c r="R52" t="s">
        <v>187</v>
      </c>
      <c r="S52" t="s">
        <v>61</v>
      </c>
      <c r="T52" t="s">
        <v>62</v>
      </c>
      <c r="U52" t="s">
        <v>63</v>
      </c>
      <c r="V52" t="s">
        <v>63</v>
      </c>
      <c r="W52" t="s">
        <v>151</v>
      </c>
      <c r="X52" t="s">
        <v>280</v>
      </c>
      <c r="Y52" t="s">
        <v>57</v>
      </c>
      <c r="Z52" t="s">
        <v>281</v>
      </c>
      <c r="AA52" t="s">
        <v>276</v>
      </c>
      <c r="AB52" t="s">
        <v>63</v>
      </c>
      <c r="AC52" t="s">
        <v>63</v>
      </c>
      <c r="AD52" t="s">
        <v>66</v>
      </c>
      <c r="AE52" t="s">
        <v>57</v>
      </c>
      <c r="AF52" t="s">
        <v>282</v>
      </c>
      <c r="AG52" t="s">
        <v>68</v>
      </c>
      <c r="AH52" t="s">
        <v>271</v>
      </c>
      <c r="AI52" t="s">
        <v>283</v>
      </c>
      <c r="AJ52" t="s">
        <v>71</v>
      </c>
      <c r="AK52" t="s">
        <v>72</v>
      </c>
      <c r="AL52" t="s">
        <v>284</v>
      </c>
      <c r="AM52" t="s">
        <v>285</v>
      </c>
      <c r="AN52" t="s">
        <v>57</v>
      </c>
      <c r="AO52" t="s">
        <v>57</v>
      </c>
      <c r="AP52" t="s">
        <v>75</v>
      </c>
      <c r="AQ52" t="s">
        <v>66</v>
      </c>
    </row>
    <row r="53" spans="1:43">
      <c r="A53" t="s">
        <v>286</v>
      </c>
      <c r="B53" t="s">
        <v>287</v>
      </c>
      <c r="C53" t="s">
        <v>288</v>
      </c>
      <c r="D53" t="s">
        <v>46</v>
      </c>
      <c r="E53" t="s">
        <v>47</v>
      </c>
      <c r="F53" t="s">
        <v>289</v>
      </c>
      <c r="G53" t="s">
        <v>290</v>
      </c>
      <c r="H53" t="s">
        <v>291</v>
      </c>
      <c r="I53" t="s">
        <v>89</v>
      </c>
      <c r="J53" t="s">
        <v>52</v>
      </c>
      <c r="K53" t="s">
        <v>53</v>
      </c>
      <c r="L53" t="s">
        <v>54</v>
      </c>
      <c r="M53" t="s">
        <v>55</v>
      </c>
      <c r="N53" t="s">
        <v>56</v>
      </c>
      <c r="O53" t="s">
        <v>57</v>
      </c>
      <c r="P53" t="s">
        <v>58</v>
      </c>
      <c r="Q53" t="s">
        <v>59</v>
      </c>
      <c r="R53" t="s">
        <v>126</v>
      </c>
      <c r="S53" t="s">
        <v>61</v>
      </c>
      <c r="T53" t="s">
        <v>62</v>
      </c>
      <c r="U53" t="s">
        <v>63</v>
      </c>
      <c r="V53" t="s">
        <v>63</v>
      </c>
      <c r="W53" t="s">
        <v>64</v>
      </c>
      <c r="X53" t="s">
        <v>57</v>
      </c>
      <c r="Y53" t="s">
        <v>57</v>
      </c>
      <c r="Z53" t="s">
        <v>292</v>
      </c>
      <c r="AA53" t="s">
        <v>288</v>
      </c>
      <c r="AB53" t="s">
        <v>63</v>
      </c>
      <c r="AC53" t="s">
        <v>63</v>
      </c>
      <c r="AD53" t="s">
        <v>66</v>
      </c>
      <c r="AE53" t="s">
        <v>57</v>
      </c>
      <c r="AF53" t="s">
        <v>293</v>
      </c>
      <c r="AG53" t="s">
        <v>68</v>
      </c>
      <c r="AH53" t="s">
        <v>294</v>
      </c>
      <c r="AI53" t="s">
        <v>295</v>
      </c>
      <c r="AJ53" t="s">
        <v>71</v>
      </c>
      <c r="AK53" t="s">
        <v>72</v>
      </c>
      <c r="AL53" t="s">
        <v>81</v>
      </c>
      <c r="AM53" t="s">
        <v>296</v>
      </c>
      <c r="AN53" t="s">
        <v>57</v>
      </c>
      <c r="AO53" t="s">
        <v>57</v>
      </c>
      <c r="AP53" t="s">
        <v>75</v>
      </c>
      <c r="AQ53" t="s">
        <v>66</v>
      </c>
    </row>
    <row r="54" spans="1:43">
      <c r="A54" t="s">
        <v>286</v>
      </c>
      <c r="B54" t="s">
        <v>287</v>
      </c>
      <c r="C54" t="s">
        <v>288</v>
      </c>
      <c r="D54" t="s">
        <v>46</v>
      </c>
      <c r="E54" t="s">
        <v>47</v>
      </c>
      <c r="F54" t="s">
        <v>289</v>
      </c>
      <c r="G54" t="s">
        <v>290</v>
      </c>
      <c r="H54" t="s">
        <v>291</v>
      </c>
      <c r="I54" t="s">
        <v>89</v>
      </c>
      <c r="J54" t="s">
        <v>52</v>
      </c>
      <c r="K54" t="s">
        <v>53</v>
      </c>
      <c r="L54" t="s">
        <v>54</v>
      </c>
      <c r="M54" t="s">
        <v>55</v>
      </c>
      <c r="N54" t="s">
        <v>56</v>
      </c>
      <c r="O54" t="s">
        <v>57</v>
      </c>
      <c r="P54" t="s">
        <v>58</v>
      </c>
      <c r="Q54" t="s">
        <v>76</v>
      </c>
      <c r="R54" t="s">
        <v>126</v>
      </c>
      <c r="S54" t="s">
        <v>61</v>
      </c>
      <c r="T54" t="s">
        <v>62</v>
      </c>
      <c r="U54" t="s">
        <v>63</v>
      </c>
      <c r="V54" t="s">
        <v>63</v>
      </c>
      <c r="W54" t="s">
        <v>64</v>
      </c>
      <c r="X54" t="s">
        <v>57</v>
      </c>
      <c r="Y54" t="s">
        <v>57</v>
      </c>
      <c r="Z54" t="s">
        <v>292</v>
      </c>
      <c r="AA54" t="s">
        <v>288</v>
      </c>
      <c r="AB54" t="s">
        <v>63</v>
      </c>
      <c r="AC54" t="s">
        <v>63</v>
      </c>
      <c r="AD54" t="s">
        <v>66</v>
      </c>
      <c r="AE54" t="s">
        <v>57</v>
      </c>
      <c r="AF54" t="s">
        <v>293</v>
      </c>
      <c r="AG54" t="s">
        <v>68</v>
      </c>
      <c r="AH54" t="s">
        <v>294</v>
      </c>
      <c r="AI54" t="s">
        <v>295</v>
      </c>
      <c r="AJ54" t="s">
        <v>71</v>
      </c>
      <c r="AK54" t="s">
        <v>72</v>
      </c>
      <c r="AL54" t="s">
        <v>81</v>
      </c>
      <c r="AM54" t="s">
        <v>296</v>
      </c>
      <c r="AN54" t="s">
        <v>57</v>
      </c>
      <c r="AO54" t="s">
        <v>57</v>
      </c>
      <c r="AP54" t="s">
        <v>75</v>
      </c>
      <c r="AQ54" t="s">
        <v>66</v>
      </c>
    </row>
    <row r="55" spans="1:43">
      <c r="A55" t="s">
        <v>286</v>
      </c>
      <c r="B55" t="s">
        <v>287</v>
      </c>
      <c r="C55" t="s">
        <v>288</v>
      </c>
      <c r="D55" t="s">
        <v>46</v>
      </c>
      <c r="E55" t="s">
        <v>47</v>
      </c>
      <c r="F55" t="s">
        <v>289</v>
      </c>
      <c r="G55" t="s">
        <v>290</v>
      </c>
      <c r="H55" t="s">
        <v>291</v>
      </c>
      <c r="I55" t="s">
        <v>89</v>
      </c>
      <c r="J55" t="s">
        <v>52</v>
      </c>
      <c r="K55" t="s">
        <v>53</v>
      </c>
      <c r="L55" t="s">
        <v>54</v>
      </c>
      <c r="M55" t="s">
        <v>55</v>
      </c>
      <c r="N55" t="s">
        <v>56</v>
      </c>
      <c r="O55" t="s">
        <v>57</v>
      </c>
      <c r="P55" t="s">
        <v>58</v>
      </c>
      <c r="Q55" t="s">
        <v>77</v>
      </c>
      <c r="R55" t="s">
        <v>126</v>
      </c>
      <c r="S55" t="s">
        <v>61</v>
      </c>
      <c r="T55" t="s">
        <v>62</v>
      </c>
      <c r="U55" t="s">
        <v>63</v>
      </c>
      <c r="V55" t="s">
        <v>63</v>
      </c>
      <c r="W55" t="s">
        <v>64</v>
      </c>
      <c r="X55" t="s">
        <v>57</v>
      </c>
      <c r="Y55" t="s">
        <v>57</v>
      </c>
      <c r="Z55" t="s">
        <v>292</v>
      </c>
      <c r="AA55" t="s">
        <v>288</v>
      </c>
      <c r="AB55" t="s">
        <v>63</v>
      </c>
      <c r="AC55" t="s">
        <v>63</v>
      </c>
      <c r="AD55" t="s">
        <v>66</v>
      </c>
      <c r="AE55" t="s">
        <v>57</v>
      </c>
      <c r="AF55" t="s">
        <v>293</v>
      </c>
      <c r="AG55" t="s">
        <v>68</v>
      </c>
      <c r="AH55" t="s">
        <v>294</v>
      </c>
      <c r="AI55" t="s">
        <v>295</v>
      </c>
      <c r="AJ55" t="s">
        <v>71</v>
      </c>
      <c r="AK55" t="s">
        <v>72</v>
      </c>
      <c r="AL55" t="s">
        <v>81</v>
      </c>
      <c r="AM55" t="s">
        <v>296</v>
      </c>
      <c r="AN55" t="s">
        <v>57</v>
      </c>
      <c r="AO55" t="s">
        <v>57</v>
      </c>
      <c r="AP55" t="s">
        <v>75</v>
      </c>
      <c r="AQ55" t="s">
        <v>66</v>
      </c>
    </row>
    <row r="56" spans="1:43">
      <c r="A56" t="s">
        <v>286</v>
      </c>
      <c r="B56" t="s">
        <v>287</v>
      </c>
      <c r="C56" t="s">
        <v>288</v>
      </c>
      <c r="D56" t="s">
        <v>46</v>
      </c>
      <c r="E56" t="s">
        <v>47</v>
      </c>
      <c r="F56" t="s">
        <v>289</v>
      </c>
      <c r="G56" t="s">
        <v>290</v>
      </c>
      <c r="H56" t="s">
        <v>291</v>
      </c>
      <c r="I56" t="s">
        <v>89</v>
      </c>
      <c r="J56" t="s">
        <v>52</v>
      </c>
      <c r="K56" t="s">
        <v>53</v>
      </c>
      <c r="L56" t="s">
        <v>54</v>
      </c>
      <c r="M56" t="s">
        <v>55</v>
      </c>
      <c r="N56" t="s">
        <v>56</v>
      </c>
      <c r="O56" t="s">
        <v>57</v>
      </c>
      <c r="P56" t="s">
        <v>58</v>
      </c>
      <c r="Q56" t="s">
        <v>97</v>
      </c>
      <c r="R56" t="s">
        <v>90</v>
      </c>
      <c r="S56" t="s">
        <v>61</v>
      </c>
      <c r="T56" t="s">
        <v>62</v>
      </c>
      <c r="U56" t="s">
        <v>63</v>
      </c>
      <c r="V56" t="s">
        <v>63</v>
      </c>
      <c r="W56" t="s">
        <v>64</v>
      </c>
      <c r="X56" t="s">
        <v>57</v>
      </c>
      <c r="Y56" t="s">
        <v>57</v>
      </c>
      <c r="Z56" t="s">
        <v>292</v>
      </c>
      <c r="AA56" t="s">
        <v>288</v>
      </c>
      <c r="AB56" t="s">
        <v>63</v>
      </c>
      <c r="AC56" t="s">
        <v>63</v>
      </c>
      <c r="AD56" t="s">
        <v>66</v>
      </c>
      <c r="AE56" t="s">
        <v>57</v>
      </c>
      <c r="AF56" t="s">
        <v>293</v>
      </c>
      <c r="AG56" t="s">
        <v>68</v>
      </c>
      <c r="AH56" t="s">
        <v>294</v>
      </c>
      <c r="AI56" t="s">
        <v>295</v>
      </c>
      <c r="AJ56" t="s">
        <v>71</v>
      </c>
      <c r="AK56" t="s">
        <v>72</v>
      </c>
      <c r="AL56" t="s">
        <v>81</v>
      </c>
      <c r="AM56" t="s">
        <v>296</v>
      </c>
      <c r="AN56" t="s">
        <v>57</v>
      </c>
      <c r="AO56" t="s">
        <v>57</v>
      </c>
      <c r="AP56" t="s">
        <v>75</v>
      </c>
      <c r="AQ56" t="s">
        <v>66</v>
      </c>
    </row>
    <row r="57" spans="1:43">
      <c r="A57" t="s">
        <v>297</v>
      </c>
      <c r="B57" t="s">
        <v>298</v>
      </c>
      <c r="C57" t="s">
        <v>299</v>
      </c>
      <c r="D57" t="s">
        <v>46</v>
      </c>
      <c r="E57" t="s">
        <v>47</v>
      </c>
      <c r="F57" t="s">
        <v>300</v>
      </c>
      <c r="G57" t="s">
        <v>247</v>
      </c>
      <c r="H57" t="s">
        <v>301</v>
      </c>
      <c r="I57" t="s">
        <v>89</v>
      </c>
      <c r="J57" t="s">
        <v>52</v>
      </c>
      <c r="K57" t="s">
        <v>53</v>
      </c>
      <c r="L57" t="s">
        <v>54</v>
      </c>
      <c r="M57" t="s">
        <v>55</v>
      </c>
      <c r="N57" t="s">
        <v>56</v>
      </c>
      <c r="O57" t="s">
        <v>57</v>
      </c>
      <c r="P57" t="s">
        <v>58</v>
      </c>
      <c r="Q57" t="s">
        <v>77</v>
      </c>
      <c r="R57" t="s">
        <v>150</v>
      </c>
      <c r="S57" t="s">
        <v>61</v>
      </c>
      <c r="T57" t="s">
        <v>62</v>
      </c>
      <c r="U57" t="s">
        <v>63</v>
      </c>
      <c r="V57" t="s">
        <v>63</v>
      </c>
      <c r="W57" t="s">
        <v>151</v>
      </c>
      <c r="X57" t="s">
        <v>302</v>
      </c>
      <c r="Y57" t="s">
        <v>57</v>
      </c>
      <c r="Z57" t="s">
        <v>303</v>
      </c>
      <c r="AA57" t="s">
        <v>299</v>
      </c>
      <c r="AB57" t="s">
        <v>63</v>
      </c>
      <c r="AC57" t="s">
        <v>63</v>
      </c>
      <c r="AD57" t="s">
        <v>66</v>
      </c>
      <c r="AE57" t="s">
        <v>57</v>
      </c>
      <c r="AF57" t="s">
        <v>304</v>
      </c>
      <c r="AG57" t="s">
        <v>68</v>
      </c>
      <c r="AH57" t="s">
        <v>294</v>
      </c>
      <c r="AI57" t="s">
        <v>305</v>
      </c>
      <c r="AJ57" t="s">
        <v>71</v>
      </c>
      <c r="AK57" t="s">
        <v>72</v>
      </c>
      <c r="AL57" t="s">
        <v>81</v>
      </c>
      <c r="AM57" t="s">
        <v>306</v>
      </c>
      <c r="AN57" t="s">
        <v>57</v>
      </c>
      <c r="AO57" t="s">
        <v>57</v>
      </c>
      <c r="AP57" t="s">
        <v>75</v>
      </c>
      <c r="AQ57" t="s">
        <v>66</v>
      </c>
    </row>
    <row r="58" spans="1:43">
      <c r="A58" t="s">
        <v>297</v>
      </c>
      <c r="B58" t="s">
        <v>298</v>
      </c>
      <c r="C58" t="s">
        <v>299</v>
      </c>
      <c r="D58" t="s">
        <v>46</v>
      </c>
      <c r="E58" t="s">
        <v>47</v>
      </c>
      <c r="F58" t="s">
        <v>300</v>
      </c>
      <c r="G58" t="s">
        <v>247</v>
      </c>
      <c r="H58" t="s">
        <v>301</v>
      </c>
      <c r="I58" t="s">
        <v>89</v>
      </c>
      <c r="J58" t="s">
        <v>52</v>
      </c>
      <c r="K58" t="s">
        <v>53</v>
      </c>
      <c r="L58" t="s">
        <v>54</v>
      </c>
      <c r="M58" t="s">
        <v>55</v>
      </c>
      <c r="N58" t="s">
        <v>56</v>
      </c>
      <c r="O58" t="s">
        <v>57</v>
      </c>
      <c r="P58" t="s">
        <v>58</v>
      </c>
      <c r="Q58" t="s">
        <v>149</v>
      </c>
      <c r="R58" t="s">
        <v>150</v>
      </c>
      <c r="S58" t="s">
        <v>61</v>
      </c>
      <c r="T58" t="s">
        <v>62</v>
      </c>
      <c r="U58" t="s">
        <v>63</v>
      </c>
      <c r="V58" t="s">
        <v>63</v>
      </c>
      <c r="W58" t="s">
        <v>151</v>
      </c>
      <c r="X58" t="s">
        <v>302</v>
      </c>
      <c r="Y58" t="s">
        <v>57</v>
      </c>
      <c r="Z58" t="s">
        <v>303</v>
      </c>
      <c r="AA58" t="s">
        <v>299</v>
      </c>
      <c r="AB58" t="s">
        <v>63</v>
      </c>
      <c r="AC58" t="s">
        <v>63</v>
      </c>
      <c r="AD58" t="s">
        <v>66</v>
      </c>
      <c r="AE58" t="s">
        <v>57</v>
      </c>
      <c r="AF58" t="s">
        <v>304</v>
      </c>
      <c r="AG58" t="s">
        <v>68</v>
      </c>
      <c r="AH58" t="s">
        <v>294</v>
      </c>
      <c r="AI58" t="s">
        <v>305</v>
      </c>
      <c r="AJ58" t="s">
        <v>71</v>
      </c>
      <c r="AK58" t="s">
        <v>72</v>
      </c>
      <c r="AL58" t="s">
        <v>81</v>
      </c>
      <c r="AM58" t="s">
        <v>306</v>
      </c>
      <c r="AN58" t="s">
        <v>57</v>
      </c>
      <c r="AO58" t="s">
        <v>57</v>
      </c>
      <c r="AP58" t="s">
        <v>75</v>
      </c>
      <c r="AQ58" t="s">
        <v>66</v>
      </c>
    </row>
    <row r="59" spans="1:43">
      <c r="A59" t="s">
        <v>307</v>
      </c>
      <c r="B59" t="s">
        <v>308</v>
      </c>
      <c r="C59" t="s">
        <v>309</v>
      </c>
      <c r="D59" t="s">
        <v>46</v>
      </c>
      <c r="E59" t="s">
        <v>47</v>
      </c>
      <c r="F59" t="s">
        <v>310</v>
      </c>
      <c r="G59" t="s">
        <v>278</v>
      </c>
      <c r="H59" t="s">
        <v>311</v>
      </c>
      <c r="I59" t="s">
        <v>89</v>
      </c>
      <c r="J59" t="s">
        <v>52</v>
      </c>
      <c r="K59" t="s">
        <v>53</v>
      </c>
      <c r="L59" t="s">
        <v>54</v>
      </c>
      <c r="M59" t="s">
        <v>55</v>
      </c>
      <c r="N59" t="s">
        <v>56</v>
      </c>
      <c r="O59" t="s">
        <v>57</v>
      </c>
      <c r="P59" t="s">
        <v>58</v>
      </c>
      <c r="Q59" t="s">
        <v>77</v>
      </c>
      <c r="R59" t="s">
        <v>312</v>
      </c>
      <c r="S59" t="s">
        <v>61</v>
      </c>
      <c r="T59" t="s">
        <v>62</v>
      </c>
      <c r="U59" t="s">
        <v>63</v>
      </c>
      <c r="V59" t="s">
        <v>63</v>
      </c>
      <c r="W59" t="s">
        <v>151</v>
      </c>
      <c r="X59" t="s">
        <v>313</v>
      </c>
      <c r="Y59" t="s">
        <v>57</v>
      </c>
      <c r="Z59" t="s">
        <v>314</v>
      </c>
      <c r="AA59" t="s">
        <v>309</v>
      </c>
      <c r="AB59" t="s">
        <v>63</v>
      </c>
      <c r="AC59" t="s">
        <v>63</v>
      </c>
      <c r="AD59" t="s">
        <v>66</v>
      </c>
      <c r="AE59" t="s">
        <v>57</v>
      </c>
      <c r="AF59" t="s">
        <v>315</v>
      </c>
      <c r="AG59" t="s">
        <v>68</v>
      </c>
      <c r="AH59" t="s">
        <v>294</v>
      </c>
      <c r="AI59" t="s">
        <v>118</v>
      </c>
      <c r="AJ59" t="s">
        <v>71</v>
      </c>
      <c r="AK59" t="s">
        <v>72</v>
      </c>
      <c r="AL59" t="s">
        <v>81</v>
      </c>
      <c r="AM59" t="s">
        <v>316</v>
      </c>
      <c r="AN59" t="s">
        <v>57</v>
      </c>
      <c r="AO59" t="s">
        <v>57</v>
      </c>
      <c r="AP59" t="s">
        <v>75</v>
      </c>
      <c r="AQ59" t="s">
        <v>66</v>
      </c>
    </row>
    <row r="60" spans="1:43">
      <c r="A60" t="s">
        <v>307</v>
      </c>
      <c r="B60" t="s">
        <v>308</v>
      </c>
      <c r="C60" t="s">
        <v>309</v>
      </c>
      <c r="D60" t="s">
        <v>46</v>
      </c>
      <c r="E60" t="s">
        <v>47</v>
      </c>
      <c r="F60" t="s">
        <v>310</v>
      </c>
      <c r="G60" t="s">
        <v>278</v>
      </c>
      <c r="H60" t="s">
        <v>311</v>
      </c>
      <c r="I60" t="s">
        <v>89</v>
      </c>
      <c r="J60" t="s">
        <v>52</v>
      </c>
      <c r="K60" t="s">
        <v>53</v>
      </c>
      <c r="L60" t="s">
        <v>54</v>
      </c>
      <c r="M60" t="s">
        <v>55</v>
      </c>
      <c r="N60" t="s">
        <v>56</v>
      </c>
      <c r="O60" t="s">
        <v>57</v>
      </c>
      <c r="P60" t="s">
        <v>58</v>
      </c>
      <c r="Q60" t="s">
        <v>149</v>
      </c>
      <c r="R60" t="s">
        <v>312</v>
      </c>
      <c r="S60" t="s">
        <v>61</v>
      </c>
      <c r="T60" t="s">
        <v>62</v>
      </c>
      <c r="U60" t="s">
        <v>63</v>
      </c>
      <c r="V60" t="s">
        <v>63</v>
      </c>
      <c r="W60" t="s">
        <v>151</v>
      </c>
      <c r="X60" t="s">
        <v>313</v>
      </c>
      <c r="Y60" t="s">
        <v>57</v>
      </c>
      <c r="Z60" t="s">
        <v>314</v>
      </c>
      <c r="AA60" t="s">
        <v>309</v>
      </c>
      <c r="AB60" t="s">
        <v>63</v>
      </c>
      <c r="AC60" t="s">
        <v>63</v>
      </c>
      <c r="AD60" t="s">
        <v>66</v>
      </c>
      <c r="AE60" t="s">
        <v>57</v>
      </c>
      <c r="AF60" t="s">
        <v>315</v>
      </c>
      <c r="AG60" t="s">
        <v>68</v>
      </c>
      <c r="AH60" t="s">
        <v>294</v>
      </c>
      <c r="AI60" t="s">
        <v>118</v>
      </c>
      <c r="AJ60" t="s">
        <v>71</v>
      </c>
      <c r="AK60" t="s">
        <v>72</v>
      </c>
      <c r="AL60" t="s">
        <v>81</v>
      </c>
      <c r="AM60" t="s">
        <v>316</v>
      </c>
      <c r="AN60" t="s">
        <v>57</v>
      </c>
      <c r="AO60" t="s">
        <v>57</v>
      </c>
      <c r="AP60" t="s">
        <v>75</v>
      </c>
      <c r="AQ60" t="s">
        <v>66</v>
      </c>
    </row>
    <row r="61" spans="1:43">
      <c r="A61" t="s">
        <v>317</v>
      </c>
      <c r="B61" t="s">
        <v>318</v>
      </c>
      <c r="C61" t="s">
        <v>319</v>
      </c>
      <c r="D61" t="s">
        <v>46</v>
      </c>
      <c r="E61" t="s">
        <v>47</v>
      </c>
      <c r="F61" t="s">
        <v>320</v>
      </c>
      <c r="G61" t="s">
        <v>175</v>
      </c>
      <c r="H61" t="s">
        <v>321</v>
      </c>
      <c r="I61" t="s">
        <v>51</v>
      </c>
      <c r="J61" t="s">
        <v>52</v>
      </c>
      <c r="K61" t="s">
        <v>53</v>
      </c>
      <c r="L61" t="s">
        <v>54</v>
      </c>
      <c r="M61" t="s">
        <v>55</v>
      </c>
      <c r="N61" t="s">
        <v>56</v>
      </c>
      <c r="O61" t="s">
        <v>57</v>
      </c>
      <c r="P61" t="s">
        <v>58</v>
      </c>
      <c r="Q61" t="s">
        <v>59</v>
      </c>
      <c r="R61" t="s">
        <v>60</v>
      </c>
      <c r="S61" t="s">
        <v>61</v>
      </c>
      <c r="T61" t="s">
        <v>62</v>
      </c>
      <c r="U61" t="s">
        <v>63</v>
      </c>
      <c r="V61" t="s">
        <v>63</v>
      </c>
      <c r="W61" t="s">
        <v>64</v>
      </c>
      <c r="X61" t="s">
        <v>57</v>
      </c>
      <c r="Y61" t="s">
        <v>57</v>
      </c>
      <c r="Z61" t="s">
        <v>322</v>
      </c>
      <c r="AA61" t="s">
        <v>323</v>
      </c>
      <c r="AB61" t="s">
        <v>63</v>
      </c>
      <c r="AC61" t="s">
        <v>63</v>
      </c>
      <c r="AD61" t="s">
        <v>66</v>
      </c>
      <c r="AE61" t="s">
        <v>57</v>
      </c>
      <c r="AF61" t="s">
        <v>324</v>
      </c>
      <c r="AG61" t="s">
        <v>68</v>
      </c>
      <c r="AH61" t="s">
        <v>325</v>
      </c>
      <c r="AI61" t="s">
        <v>326</v>
      </c>
      <c r="AJ61" t="s">
        <v>71</v>
      </c>
      <c r="AK61" t="s">
        <v>72</v>
      </c>
      <c r="AL61" t="s">
        <v>57</v>
      </c>
      <c r="AM61" t="s">
        <v>327</v>
      </c>
      <c r="AN61" t="s">
        <v>57</v>
      </c>
      <c r="AO61" t="s">
        <v>57</v>
      </c>
      <c r="AP61" t="s">
        <v>75</v>
      </c>
      <c r="AQ61" t="s">
        <v>75</v>
      </c>
    </row>
    <row r="62" spans="1:43">
      <c r="A62" t="s">
        <v>317</v>
      </c>
      <c r="B62" t="s">
        <v>318</v>
      </c>
      <c r="C62" t="s">
        <v>319</v>
      </c>
      <c r="D62" t="s">
        <v>46</v>
      </c>
      <c r="E62" t="s">
        <v>47</v>
      </c>
      <c r="F62" t="s">
        <v>320</v>
      </c>
      <c r="G62" t="s">
        <v>175</v>
      </c>
      <c r="H62" t="s">
        <v>321</v>
      </c>
      <c r="I62" t="s">
        <v>51</v>
      </c>
      <c r="J62" t="s">
        <v>52</v>
      </c>
      <c r="K62" t="s">
        <v>53</v>
      </c>
      <c r="L62" t="s">
        <v>54</v>
      </c>
      <c r="M62" t="s">
        <v>55</v>
      </c>
      <c r="N62" t="s">
        <v>56</v>
      </c>
      <c r="O62" t="s">
        <v>57</v>
      </c>
      <c r="P62" t="s">
        <v>58</v>
      </c>
      <c r="Q62" t="s">
        <v>76</v>
      </c>
      <c r="R62" t="s">
        <v>60</v>
      </c>
      <c r="S62" t="s">
        <v>61</v>
      </c>
      <c r="T62" t="s">
        <v>62</v>
      </c>
      <c r="U62" t="s">
        <v>63</v>
      </c>
      <c r="V62" t="s">
        <v>63</v>
      </c>
      <c r="W62" t="s">
        <v>64</v>
      </c>
      <c r="X62" t="s">
        <v>57</v>
      </c>
      <c r="Y62" t="s">
        <v>57</v>
      </c>
      <c r="Z62" t="s">
        <v>322</v>
      </c>
      <c r="AA62" t="s">
        <v>323</v>
      </c>
      <c r="AB62" t="s">
        <v>63</v>
      </c>
      <c r="AC62" t="s">
        <v>63</v>
      </c>
      <c r="AD62" t="s">
        <v>66</v>
      </c>
      <c r="AE62" t="s">
        <v>57</v>
      </c>
      <c r="AF62" t="s">
        <v>324</v>
      </c>
      <c r="AG62" t="s">
        <v>68</v>
      </c>
      <c r="AH62" t="s">
        <v>325</v>
      </c>
      <c r="AI62" t="s">
        <v>326</v>
      </c>
      <c r="AJ62" t="s">
        <v>71</v>
      </c>
      <c r="AK62" t="s">
        <v>72</v>
      </c>
      <c r="AL62" t="s">
        <v>57</v>
      </c>
      <c r="AM62" t="s">
        <v>327</v>
      </c>
      <c r="AN62" t="s">
        <v>57</v>
      </c>
      <c r="AO62" t="s">
        <v>57</v>
      </c>
      <c r="AP62" t="s">
        <v>75</v>
      </c>
      <c r="AQ62" t="s">
        <v>75</v>
      </c>
    </row>
    <row r="63" spans="1:43">
      <c r="A63" t="s">
        <v>317</v>
      </c>
      <c r="B63" t="s">
        <v>318</v>
      </c>
      <c r="C63" t="s">
        <v>319</v>
      </c>
      <c r="D63" t="s">
        <v>46</v>
      </c>
      <c r="E63" t="s">
        <v>47</v>
      </c>
      <c r="F63" t="s">
        <v>320</v>
      </c>
      <c r="G63" t="s">
        <v>175</v>
      </c>
      <c r="H63" t="s">
        <v>321</v>
      </c>
      <c r="I63" t="s">
        <v>51</v>
      </c>
      <c r="J63" t="s">
        <v>52</v>
      </c>
      <c r="K63" t="s">
        <v>53</v>
      </c>
      <c r="L63" t="s">
        <v>54</v>
      </c>
      <c r="M63" t="s">
        <v>55</v>
      </c>
      <c r="N63" t="s">
        <v>56</v>
      </c>
      <c r="O63" t="s">
        <v>57</v>
      </c>
      <c r="P63" t="s">
        <v>58</v>
      </c>
      <c r="Q63" t="s">
        <v>77</v>
      </c>
      <c r="R63" t="s">
        <v>60</v>
      </c>
      <c r="S63" t="s">
        <v>61</v>
      </c>
      <c r="T63" t="s">
        <v>62</v>
      </c>
      <c r="U63" t="s">
        <v>63</v>
      </c>
      <c r="V63" t="s">
        <v>63</v>
      </c>
      <c r="W63" t="s">
        <v>64</v>
      </c>
      <c r="X63" t="s">
        <v>57</v>
      </c>
      <c r="Y63" t="s">
        <v>57</v>
      </c>
      <c r="Z63" t="s">
        <v>322</v>
      </c>
      <c r="AA63" t="s">
        <v>323</v>
      </c>
      <c r="AB63" t="s">
        <v>63</v>
      </c>
      <c r="AC63" t="s">
        <v>63</v>
      </c>
      <c r="AD63" t="s">
        <v>66</v>
      </c>
      <c r="AE63" t="s">
        <v>57</v>
      </c>
      <c r="AF63" t="s">
        <v>324</v>
      </c>
      <c r="AG63" t="s">
        <v>68</v>
      </c>
      <c r="AH63" t="s">
        <v>325</v>
      </c>
      <c r="AI63" t="s">
        <v>326</v>
      </c>
      <c r="AJ63" t="s">
        <v>71</v>
      </c>
      <c r="AK63" t="s">
        <v>72</v>
      </c>
      <c r="AL63" t="s">
        <v>57</v>
      </c>
      <c r="AM63" t="s">
        <v>327</v>
      </c>
      <c r="AN63" t="s">
        <v>57</v>
      </c>
      <c r="AO63" t="s">
        <v>57</v>
      </c>
      <c r="AP63" t="s">
        <v>75</v>
      </c>
      <c r="AQ63" t="s">
        <v>75</v>
      </c>
    </row>
    <row r="64" spans="1:43">
      <c r="A64" t="s">
        <v>328</v>
      </c>
      <c r="B64" t="s">
        <v>329</v>
      </c>
      <c r="C64" t="s">
        <v>330</v>
      </c>
      <c r="D64" t="s">
        <v>46</v>
      </c>
      <c r="E64" t="s">
        <v>47</v>
      </c>
      <c r="F64" t="s">
        <v>331</v>
      </c>
      <c r="G64" t="s">
        <v>87</v>
      </c>
      <c r="H64" t="s">
        <v>332</v>
      </c>
      <c r="I64" t="s">
        <v>89</v>
      </c>
      <c r="J64" t="s">
        <v>52</v>
      </c>
      <c r="K64" t="s">
        <v>53</v>
      </c>
      <c r="L64" t="s">
        <v>54</v>
      </c>
      <c r="M64" t="s">
        <v>55</v>
      </c>
      <c r="N64" t="s">
        <v>56</v>
      </c>
      <c r="O64" t="s">
        <v>57</v>
      </c>
      <c r="P64" t="s">
        <v>58</v>
      </c>
      <c r="Q64" t="s">
        <v>77</v>
      </c>
      <c r="R64" t="s">
        <v>333</v>
      </c>
      <c r="S64" t="s">
        <v>61</v>
      </c>
      <c r="T64" t="s">
        <v>62</v>
      </c>
      <c r="U64" t="s">
        <v>63</v>
      </c>
      <c r="V64" t="s">
        <v>63</v>
      </c>
      <c r="W64" t="s">
        <v>64</v>
      </c>
      <c r="X64" t="s">
        <v>57</v>
      </c>
      <c r="Y64" t="s">
        <v>57</v>
      </c>
      <c r="Z64" t="s">
        <v>334</v>
      </c>
      <c r="AA64" t="s">
        <v>330</v>
      </c>
      <c r="AB64" t="s">
        <v>63</v>
      </c>
      <c r="AC64" t="s">
        <v>63</v>
      </c>
      <c r="AD64" t="s">
        <v>66</v>
      </c>
      <c r="AE64" t="s">
        <v>57</v>
      </c>
      <c r="AF64" t="s">
        <v>335</v>
      </c>
      <c r="AG64" t="s">
        <v>68</v>
      </c>
      <c r="AH64" t="s">
        <v>325</v>
      </c>
      <c r="AI64" t="s">
        <v>336</v>
      </c>
      <c r="AJ64" t="s">
        <v>71</v>
      </c>
      <c r="AK64" t="s">
        <v>72</v>
      </c>
      <c r="AL64" t="s">
        <v>81</v>
      </c>
      <c r="AM64" t="s">
        <v>337</v>
      </c>
      <c r="AN64" t="s">
        <v>57</v>
      </c>
      <c r="AO64" t="s">
        <v>57</v>
      </c>
      <c r="AP64" t="s">
        <v>75</v>
      </c>
      <c r="AQ64" t="s">
        <v>66</v>
      </c>
    </row>
    <row r="65" spans="1:43">
      <c r="A65" t="s">
        <v>328</v>
      </c>
      <c r="B65" t="s">
        <v>329</v>
      </c>
      <c r="C65" t="s">
        <v>330</v>
      </c>
      <c r="D65" t="s">
        <v>46</v>
      </c>
      <c r="E65" t="s">
        <v>47</v>
      </c>
      <c r="F65" t="s">
        <v>331</v>
      </c>
      <c r="G65" t="s">
        <v>87</v>
      </c>
      <c r="H65" t="s">
        <v>332</v>
      </c>
      <c r="I65" t="s">
        <v>89</v>
      </c>
      <c r="J65" t="s">
        <v>52</v>
      </c>
      <c r="K65" t="s">
        <v>53</v>
      </c>
      <c r="L65" t="s">
        <v>54</v>
      </c>
      <c r="M65" t="s">
        <v>55</v>
      </c>
      <c r="N65" t="s">
        <v>56</v>
      </c>
      <c r="O65" t="s">
        <v>57</v>
      </c>
      <c r="P65" t="s">
        <v>58</v>
      </c>
      <c r="Q65" t="s">
        <v>76</v>
      </c>
      <c r="R65" t="s">
        <v>333</v>
      </c>
      <c r="S65" t="s">
        <v>61</v>
      </c>
      <c r="T65" t="s">
        <v>62</v>
      </c>
      <c r="U65" t="s">
        <v>63</v>
      </c>
      <c r="V65" t="s">
        <v>63</v>
      </c>
      <c r="W65" t="s">
        <v>64</v>
      </c>
      <c r="X65" t="s">
        <v>57</v>
      </c>
      <c r="Y65" t="s">
        <v>57</v>
      </c>
      <c r="Z65" t="s">
        <v>334</v>
      </c>
      <c r="AA65" t="s">
        <v>330</v>
      </c>
      <c r="AB65" t="s">
        <v>63</v>
      </c>
      <c r="AC65" t="s">
        <v>63</v>
      </c>
      <c r="AD65" t="s">
        <v>66</v>
      </c>
      <c r="AE65" t="s">
        <v>57</v>
      </c>
      <c r="AF65" t="s">
        <v>335</v>
      </c>
      <c r="AG65" t="s">
        <v>68</v>
      </c>
      <c r="AH65" t="s">
        <v>325</v>
      </c>
      <c r="AI65" t="s">
        <v>336</v>
      </c>
      <c r="AJ65" t="s">
        <v>71</v>
      </c>
      <c r="AK65" t="s">
        <v>72</v>
      </c>
      <c r="AL65" t="s">
        <v>81</v>
      </c>
      <c r="AM65" t="s">
        <v>337</v>
      </c>
      <c r="AN65" t="s">
        <v>57</v>
      </c>
      <c r="AO65" t="s">
        <v>57</v>
      </c>
      <c r="AP65" t="s">
        <v>75</v>
      </c>
      <c r="AQ65" t="s">
        <v>66</v>
      </c>
    </row>
    <row r="66" spans="1:43">
      <c r="A66" t="s">
        <v>338</v>
      </c>
      <c r="B66" t="s">
        <v>339</v>
      </c>
      <c r="C66" t="s">
        <v>340</v>
      </c>
      <c r="D66" t="s">
        <v>46</v>
      </c>
      <c r="E66" t="s">
        <v>47</v>
      </c>
      <c r="F66" t="s">
        <v>341</v>
      </c>
      <c r="G66" t="s">
        <v>342</v>
      </c>
      <c r="H66" t="s">
        <v>343</v>
      </c>
      <c r="I66" t="s">
        <v>89</v>
      </c>
      <c r="J66" t="s">
        <v>52</v>
      </c>
      <c r="K66" t="s">
        <v>53</v>
      </c>
      <c r="L66" t="s">
        <v>54</v>
      </c>
      <c r="M66" t="s">
        <v>55</v>
      </c>
      <c r="N66" t="s">
        <v>56</v>
      </c>
      <c r="O66" t="s">
        <v>57</v>
      </c>
      <c r="P66" t="s">
        <v>58</v>
      </c>
      <c r="Q66" t="s">
        <v>149</v>
      </c>
      <c r="R66" t="s">
        <v>344</v>
      </c>
      <c r="S66" t="s">
        <v>61</v>
      </c>
      <c r="T66" t="s">
        <v>62</v>
      </c>
      <c r="U66" t="s">
        <v>63</v>
      </c>
      <c r="V66" t="s">
        <v>63</v>
      </c>
      <c r="W66" t="s">
        <v>151</v>
      </c>
      <c r="X66" t="s">
        <v>57</v>
      </c>
      <c r="Y66" t="s">
        <v>345</v>
      </c>
      <c r="Z66" t="s">
        <v>346</v>
      </c>
      <c r="AA66" t="s">
        <v>340</v>
      </c>
      <c r="AB66" t="s">
        <v>63</v>
      </c>
      <c r="AC66" t="s">
        <v>63</v>
      </c>
      <c r="AD66" t="s">
        <v>66</v>
      </c>
      <c r="AE66" t="s">
        <v>347</v>
      </c>
      <c r="AF66" t="s">
        <v>348</v>
      </c>
      <c r="AG66" t="s">
        <v>68</v>
      </c>
      <c r="AH66" t="s">
        <v>325</v>
      </c>
      <c r="AI66" t="s">
        <v>349</v>
      </c>
      <c r="AJ66" t="s">
        <v>71</v>
      </c>
      <c r="AK66" t="s">
        <v>72</v>
      </c>
      <c r="AL66" t="s">
        <v>81</v>
      </c>
      <c r="AM66" t="s">
        <v>350</v>
      </c>
      <c r="AN66" t="s">
        <v>57</v>
      </c>
      <c r="AO66" t="s">
        <v>57</v>
      </c>
      <c r="AP66" t="s">
        <v>75</v>
      </c>
      <c r="AQ66" t="s">
        <v>66</v>
      </c>
    </row>
    <row r="67" spans="1:43">
      <c r="A67" t="s">
        <v>338</v>
      </c>
      <c r="B67" t="s">
        <v>339</v>
      </c>
      <c r="C67" t="s">
        <v>340</v>
      </c>
      <c r="D67" t="s">
        <v>46</v>
      </c>
      <c r="E67" t="s">
        <v>47</v>
      </c>
      <c r="F67" t="s">
        <v>341</v>
      </c>
      <c r="G67" t="s">
        <v>342</v>
      </c>
      <c r="H67" t="s">
        <v>343</v>
      </c>
      <c r="I67" t="s">
        <v>89</v>
      </c>
      <c r="J67" t="s">
        <v>52</v>
      </c>
      <c r="K67" t="s">
        <v>53</v>
      </c>
      <c r="L67" t="s">
        <v>54</v>
      </c>
      <c r="M67" t="s">
        <v>55</v>
      </c>
      <c r="N67" t="s">
        <v>56</v>
      </c>
      <c r="O67" t="s">
        <v>57</v>
      </c>
      <c r="P67" t="s">
        <v>58</v>
      </c>
      <c r="Q67" t="s">
        <v>77</v>
      </c>
      <c r="R67" t="s">
        <v>344</v>
      </c>
      <c r="S67" t="s">
        <v>61</v>
      </c>
      <c r="T67" t="s">
        <v>62</v>
      </c>
      <c r="U67" t="s">
        <v>63</v>
      </c>
      <c r="V67" t="s">
        <v>63</v>
      </c>
      <c r="W67" t="s">
        <v>151</v>
      </c>
      <c r="X67" t="s">
        <v>57</v>
      </c>
      <c r="Y67" t="s">
        <v>345</v>
      </c>
      <c r="Z67" t="s">
        <v>346</v>
      </c>
      <c r="AA67" t="s">
        <v>340</v>
      </c>
      <c r="AB67" t="s">
        <v>63</v>
      </c>
      <c r="AC67" t="s">
        <v>63</v>
      </c>
      <c r="AD67" t="s">
        <v>66</v>
      </c>
      <c r="AE67" t="s">
        <v>347</v>
      </c>
      <c r="AF67" t="s">
        <v>348</v>
      </c>
      <c r="AG67" t="s">
        <v>68</v>
      </c>
      <c r="AH67" t="s">
        <v>325</v>
      </c>
      <c r="AI67" t="s">
        <v>349</v>
      </c>
      <c r="AJ67" t="s">
        <v>71</v>
      </c>
      <c r="AK67" t="s">
        <v>72</v>
      </c>
      <c r="AL67" t="s">
        <v>81</v>
      </c>
      <c r="AM67" t="s">
        <v>350</v>
      </c>
      <c r="AN67" t="s">
        <v>57</v>
      </c>
      <c r="AO67" t="s">
        <v>57</v>
      </c>
      <c r="AP67" t="s">
        <v>75</v>
      </c>
      <c r="AQ67" t="s">
        <v>66</v>
      </c>
    </row>
    <row r="68" spans="1:43">
      <c r="A68" t="s">
        <v>351</v>
      </c>
      <c r="B68" t="s">
        <v>339</v>
      </c>
      <c r="C68" t="s">
        <v>352</v>
      </c>
      <c r="D68" t="s">
        <v>46</v>
      </c>
      <c r="E68" t="s">
        <v>47</v>
      </c>
      <c r="F68" t="s">
        <v>353</v>
      </c>
      <c r="G68" t="s">
        <v>185</v>
      </c>
      <c r="H68" t="s">
        <v>354</v>
      </c>
      <c r="I68" t="s">
        <v>51</v>
      </c>
      <c r="J68" t="s">
        <v>52</v>
      </c>
      <c r="K68" t="s">
        <v>53</v>
      </c>
      <c r="L68" t="s">
        <v>54</v>
      </c>
      <c r="M68" t="s">
        <v>55</v>
      </c>
      <c r="N68" t="s">
        <v>56</v>
      </c>
      <c r="O68" t="s">
        <v>57</v>
      </c>
      <c r="P68" t="s">
        <v>58</v>
      </c>
      <c r="Q68" t="s">
        <v>77</v>
      </c>
      <c r="R68" t="s">
        <v>187</v>
      </c>
      <c r="S68" t="s">
        <v>61</v>
      </c>
      <c r="T68" t="s">
        <v>62</v>
      </c>
      <c r="U68" t="s">
        <v>63</v>
      </c>
      <c r="V68" t="s">
        <v>63</v>
      </c>
      <c r="W68" t="s">
        <v>151</v>
      </c>
      <c r="X68" t="s">
        <v>355</v>
      </c>
      <c r="Y68" t="s">
        <v>57</v>
      </c>
      <c r="Z68" t="s">
        <v>346</v>
      </c>
      <c r="AA68" t="s">
        <v>340</v>
      </c>
      <c r="AB68" t="s">
        <v>63</v>
      </c>
      <c r="AC68" t="s">
        <v>63</v>
      </c>
      <c r="AD68" t="s">
        <v>66</v>
      </c>
      <c r="AE68" t="s">
        <v>57</v>
      </c>
      <c r="AF68" t="s">
        <v>356</v>
      </c>
      <c r="AG68" t="s">
        <v>68</v>
      </c>
      <c r="AH68" t="s">
        <v>325</v>
      </c>
      <c r="AI68" t="s">
        <v>357</v>
      </c>
      <c r="AJ68" t="s">
        <v>71</v>
      </c>
      <c r="AK68" t="s">
        <v>72</v>
      </c>
      <c r="AL68" t="s">
        <v>358</v>
      </c>
      <c r="AM68" t="s">
        <v>359</v>
      </c>
      <c r="AN68" t="s">
        <v>57</v>
      </c>
      <c r="AO68" t="s">
        <v>57</v>
      </c>
      <c r="AP68" t="s">
        <v>75</v>
      </c>
      <c r="AQ68" t="s">
        <v>66</v>
      </c>
    </row>
    <row r="69" spans="1:43">
      <c r="A69" t="s">
        <v>351</v>
      </c>
      <c r="B69" t="s">
        <v>339</v>
      </c>
      <c r="C69" t="s">
        <v>352</v>
      </c>
      <c r="D69" t="s">
        <v>46</v>
      </c>
      <c r="E69" t="s">
        <v>47</v>
      </c>
      <c r="F69" t="s">
        <v>353</v>
      </c>
      <c r="G69" t="s">
        <v>185</v>
      </c>
      <c r="H69" t="s">
        <v>354</v>
      </c>
      <c r="I69" t="s">
        <v>51</v>
      </c>
      <c r="J69" t="s">
        <v>52</v>
      </c>
      <c r="K69" t="s">
        <v>53</v>
      </c>
      <c r="L69" t="s">
        <v>54</v>
      </c>
      <c r="M69" t="s">
        <v>55</v>
      </c>
      <c r="N69" t="s">
        <v>56</v>
      </c>
      <c r="O69" t="s">
        <v>57</v>
      </c>
      <c r="P69" t="s">
        <v>58</v>
      </c>
      <c r="Q69" t="s">
        <v>149</v>
      </c>
      <c r="R69" t="s">
        <v>187</v>
      </c>
      <c r="S69" t="s">
        <v>61</v>
      </c>
      <c r="T69" t="s">
        <v>62</v>
      </c>
      <c r="U69" t="s">
        <v>63</v>
      </c>
      <c r="V69" t="s">
        <v>63</v>
      </c>
      <c r="W69" t="s">
        <v>151</v>
      </c>
      <c r="X69" t="s">
        <v>355</v>
      </c>
      <c r="Y69" t="s">
        <v>57</v>
      </c>
      <c r="Z69" t="s">
        <v>346</v>
      </c>
      <c r="AA69" t="s">
        <v>340</v>
      </c>
      <c r="AB69" t="s">
        <v>63</v>
      </c>
      <c r="AC69" t="s">
        <v>63</v>
      </c>
      <c r="AD69" t="s">
        <v>66</v>
      </c>
      <c r="AE69" t="s">
        <v>57</v>
      </c>
      <c r="AF69" t="s">
        <v>356</v>
      </c>
      <c r="AG69" t="s">
        <v>68</v>
      </c>
      <c r="AH69" t="s">
        <v>325</v>
      </c>
      <c r="AI69" t="s">
        <v>357</v>
      </c>
      <c r="AJ69" t="s">
        <v>71</v>
      </c>
      <c r="AK69" t="s">
        <v>72</v>
      </c>
      <c r="AL69" t="s">
        <v>358</v>
      </c>
      <c r="AM69" t="s">
        <v>359</v>
      </c>
      <c r="AN69" t="s">
        <v>57</v>
      </c>
      <c r="AO69" t="s">
        <v>57</v>
      </c>
      <c r="AP69" t="s">
        <v>75</v>
      </c>
      <c r="AQ69" t="s">
        <v>66</v>
      </c>
    </row>
    <row r="70" spans="1:43">
      <c r="A70" t="s">
        <v>360</v>
      </c>
      <c r="B70" t="s">
        <v>361</v>
      </c>
      <c r="C70" t="s">
        <v>362</v>
      </c>
      <c r="D70" t="s">
        <v>46</v>
      </c>
      <c r="E70" t="s">
        <v>47</v>
      </c>
      <c r="F70" t="s">
        <v>363</v>
      </c>
      <c r="G70" t="s">
        <v>342</v>
      </c>
      <c r="H70" t="s">
        <v>364</v>
      </c>
      <c r="I70" t="s">
        <v>89</v>
      </c>
      <c r="J70" t="s">
        <v>52</v>
      </c>
      <c r="K70" t="s">
        <v>53</v>
      </c>
      <c r="L70" t="s">
        <v>54</v>
      </c>
      <c r="M70" t="s">
        <v>55</v>
      </c>
      <c r="N70" t="s">
        <v>56</v>
      </c>
      <c r="O70" t="s">
        <v>57</v>
      </c>
      <c r="P70" t="s">
        <v>58</v>
      </c>
      <c r="Q70" t="s">
        <v>77</v>
      </c>
      <c r="R70" t="s">
        <v>344</v>
      </c>
      <c r="S70" t="s">
        <v>61</v>
      </c>
      <c r="T70" t="s">
        <v>62</v>
      </c>
      <c r="U70" t="s">
        <v>63</v>
      </c>
      <c r="V70" t="s">
        <v>63</v>
      </c>
      <c r="W70" t="s">
        <v>151</v>
      </c>
      <c r="X70" t="s">
        <v>365</v>
      </c>
      <c r="Y70" t="s">
        <v>57</v>
      </c>
      <c r="Z70" t="s">
        <v>366</v>
      </c>
      <c r="AA70" t="s">
        <v>362</v>
      </c>
      <c r="AB70" t="s">
        <v>63</v>
      </c>
      <c r="AC70" t="s">
        <v>63</v>
      </c>
      <c r="AD70" t="s">
        <v>66</v>
      </c>
      <c r="AE70" t="s">
        <v>57</v>
      </c>
      <c r="AF70" t="s">
        <v>367</v>
      </c>
      <c r="AG70" t="s">
        <v>68</v>
      </c>
      <c r="AH70" t="s">
        <v>368</v>
      </c>
      <c r="AI70" t="s">
        <v>369</v>
      </c>
      <c r="AJ70" t="s">
        <v>71</v>
      </c>
      <c r="AK70" t="s">
        <v>72</v>
      </c>
      <c r="AL70" t="s">
        <v>81</v>
      </c>
      <c r="AM70" t="s">
        <v>370</v>
      </c>
      <c r="AN70" t="s">
        <v>57</v>
      </c>
      <c r="AO70" t="s">
        <v>57</v>
      </c>
      <c r="AP70" t="s">
        <v>75</v>
      </c>
      <c r="AQ70" t="s">
        <v>66</v>
      </c>
    </row>
    <row r="71" spans="1:43">
      <c r="A71" t="s">
        <v>360</v>
      </c>
      <c r="B71" t="s">
        <v>361</v>
      </c>
      <c r="C71" t="s">
        <v>362</v>
      </c>
      <c r="D71" t="s">
        <v>46</v>
      </c>
      <c r="E71" t="s">
        <v>47</v>
      </c>
      <c r="F71" t="s">
        <v>363</v>
      </c>
      <c r="G71" t="s">
        <v>342</v>
      </c>
      <c r="H71" t="s">
        <v>364</v>
      </c>
      <c r="I71" t="s">
        <v>89</v>
      </c>
      <c r="J71" t="s">
        <v>52</v>
      </c>
      <c r="K71" t="s">
        <v>53</v>
      </c>
      <c r="L71" t="s">
        <v>54</v>
      </c>
      <c r="M71" t="s">
        <v>55</v>
      </c>
      <c r="N71" t="s">
        <v>56</v>
      </c>
      <c r="O71" t="s">
        <v>57</v>
      </c>
      <c r="P71" t="s">
        <v>58</v>
      </c>
      <c r="Q71" t="s">
        <v>149</v>
      </c>
      <c r="R71" t="s">
        <v>344</v>
      </c>
      <c r="S71" t="s">
        <v>61</v>
      </c>
      <c r="T71" t="s">
        <v>62</v>
      </c>
      <c r="U71" t="s">
        <v>63</v>
      </c>
      <c r="V71" t="s">
        <v>63</v>
      </c>
      <c r="W71" t="s">
        <v>151</v>
      </c>
      <c r="X71" t="s">
        <v>365</v>
      </c>
      <c r="Y71" t="s">
        <v>57</v>
      </c>
      <c r="Z71" t="s">
        <v>366</v>
      </c>
      <c r="AA71" t="s">
        <v>362</v>
      </c>
      <c r="AB71" t="s">
        <v>63</v>
      </c>
      <c r="AC71" t="s">
        <v>63</v>
      </c>
      <c r="AD71" t="s">
        <v>66</v>
      </c>
      <c r="AE71" t="s">
        <v>57</v>
      </c>
      <c r="AF71" t="s">
        <v>367</v>
      </c>
      <c r="AG71" t="s">
        <v>68</v>
      </c>
      <c r="AH71" t="s">
        <v>368</v>
      </c>
      <c r="AI71" t="s">
        <v>369</v>
      </c>
      <c r="AJ71" t="s">
        <v>71</v>
      </c>
      <c r="AK71" t="s">
        <v>72</v>
      </c>
      <c r="AL71" t="s">
        <v>81</v>
      </c>
      <c r="AM71" t="s">
        <v>370</v>
      </c>
      <c r="AN71" t="s">
        <v>57</v>
      </c>
      <c r="AO71" t="s">
        <v>57</v>
      </c>
      <c r="AP71" t="s">
        <v>75</v>
      </c>
      <c r="AQ71" t="s">
        <v>66</v>
      </c>
    </row>
    <row r="72" spans="1:43">
      <c r="A72" t="s">
        <v>371</v>
      </c>
      <c r="B72" t="s">
        <v>361</v>
      </c>
      <c r="C72" t="s">
        <v>362</v>
      </c>
      <c r="D72" t="s">
        <v>46</v>
      </c>
      <c r="E72" t="s">
        <v>47</v>
      </c>
      <c r="F72" t="s">
        <v>372</v>
      </c>
      <c r="G72" t="s">
        <v>185</v>
      </c>
      <c r="H72" t="s">
        <v>364</v>
      </c>
      <c r="I72" t="s">
        <v>51</v>
      </c>
      <c r="J72" t="s">
        <v>52</v>
      </c>
      <c r="K72" t="s">
        <v>53</v>
      </c>
      <c r="L72" t="s">
        <v>54</v>
      </c>
      <c r="M72" t="s">
        <v>55</v>
      </c>
      <c r="N72" t="s">
        <v>56</v>
      </c>
      <c r="O72" t="s">
        <v>57</v>
      </c>
      <c r="P72" t="s">
        <v>58</v>
      </c>
      <c r="Q72" t="s">
        <v>149</v>
      </c>
      <c r="R72" t="s">
        <v>373</v>
      </c>
      <c r="S72" t="s">
        <v>61</v>
      </c>
      <c r="T72" t="s">
        <v>62</v>
      </c>
      <c r="U72" t="s">
        <v>63</v>
      </c>
      <c r="V72" t="s">
        <v>63</v>
      </c>
      <c r="W72" t="s">
        <v>151</v>
      </c>
      <c r="X72" t="s">
        <v>374</v>
      </c>
      <c r="Y72" t="s">
        <v>57</v>
      </c>
      <c r="Z72" t="s">
        <v>366</v>
      </c>
      <c r="AA72" t="s">
        <v>362</v>
      </c>
      <c r="AB72" t="s">
        <v>63</v>
      </c>
      <c r="AC72" t="s">
        <v>63</v>
      </c>
      <c r="AD72" t="s">
        <v>66</v>
      </c>
      <c r="AE72" t="s">
        <v>57</v>
      </c>
      <c r="AF72" t="s">
        <v>375</v>
      </c>
      <c r="AG72" t="s">
        <v>68</v>
      </c>
      <c r="AH72" t="s">
        <v>368</v>
      </c>
      <c r="AI72" t="s">
        <v>376</v>
      </c>
      <c r="AJ72" t="s">
        <v>71</v>
      </c>
      <c r="AK72" t="s">
        <v>72</v>
      </c>
      <c r="AL72" t="s">
        <v>81</v>
      </c>
      <c r="AM72" t="s">
        <v>377</v>
      </c>
      <c r="AN72" t="s">
        <v>57</v>
      </c>
      <c r="AO72" t="s">
        <v>57</v>
      </c>
      <c r="AP72" t="s">
        <v>75</v>
      </c>
      <c r="AQ72" t="s">
        <v>75</v>
      </c>
    </row>
    <row r="73" spans="1:43">
      <c r="A73" t="s">
        <v>378</v>
      </c>
      <c r="B73" t="s">
        <v>379</v>
      </c>
      <c r="C73" t="s">
        <v>380</v>
      </c>
      <c r="D73" t="s">
        <v>46</v>
      </c>
      <c r="E73" t="s">
        <v>47</v>
      </c>
      <c r="F73" t="s">
        <v>381</v>
      </c>
      <c r="G73" t="s">
        <v>247</v>
      </c>
      <c r="H73" t="s">
        <v>382</v>
      </c>
      <c r="I73" t="s">
        <v>51</v>
      </c>
      <c r="J73" t="s">
        <v>52</v>
      </c>
      <c r="K73" t="s">
        <v>53</v>
      </c>
      <c r="L73" t="s">
        <v>54</v>
      </c>
      <c r="M73" t="s">
        <v>55</v>
      </c>
      <c r="N73" t="s">
        <v>56</v>
      </c>
      <c r="O73" t="s">
        <v>57</v>
      </c>
      <c r="P73" t="s">
        <v>58</v>
      </c>
      <c r="Q73" t="s">
        <v>97</v>
      </c>
      <c r="R73" t="s">
        <v>249</v>
      </c>
      <c r="S73" t="s">
        <v>61</v>
      </c>
      <c r="T73" t="s">
        <v>62</v>
      </c>
      <c r="U73" t="s">
        <v>63</v>
      </c>
      <c r="V73" t="s">
        <v>63</v>
      </c>
      <c r="W73" t="s">
        <v>151</v>
      </c>
      <c r="X73" t="s">
        <v>57</v>
      </c>
      <c r="Y73" t="s">
        <v>383</v>
      </c>
      <c r="Z73" t="s">
        <v>384</v>
      </c>
      <c r="AA73" t="s">
        <v>380</v>
      </c>
      <c r="AB73" t="s">
        <v>63</v>
      </c>
      <c r="AC73" t="s">
        <v>63</v>
      </c>
      <c r="AD73" t="s">
        <v>66</v>
      </c>
      <c r="AE73" t="s">
        <v>385</v>
      </c>
      <c r="AF73" t="s">
        <v>386</v>
      </c>
      <c r="AG73" t="s">
        <v>68</v>
      </c>
      <c r="AH73" t="s">
        <v>368</v>
      </c>
      <c r="AI73" t="s">
        <v>387</v>
      </c>
      <c r="AJ73" t="s">
        <v>71</v>
      </c>
      <c r="AK73" t="s">
        <v>72</v>
      </c>
      <c r="AL73" t="s">
        <v>388</v>
      </c>
      <c r="AM73" t="s">
        <v>389</v>
      </c>
      <c r="AN73" t="s">
        <v>57</v>
      </c>
      <c r="AO73" t="s">
        <v>57</v>
      </c>
      <c r="AP73" t="s">
        <v>75</v>
      </c>
      <c r="AQ73" t="s">
        <v>66</v>
      </c>
    </row>
    <row r="74" spans="1:43">
      <c r="A74" t="s">
        <v>390</v>
      </c>
      <c r="B74" t="s">
        <v>391</v>
      </c>
      <c r="C74" t="s">
        <v>392</v>
      </c>
      <c r="D74" t="s">
        <v>393</v>
      </c>
      <c r="E74" t="s">
        <v>394</v>
      </c>
      <c r="F74" t="s">
        <v>395</v>
      </c>
      <c r="G74" t="s">
        <v>102</v>
      </c>
      <c r="H74" t="s">
        <v>396</v>
      </c>
      <c r="I74" t="s">
        <v>89</v>
      </c>
      <c r="J74" t="s">
        <v>52</v>
      </c>
      <c r="K74" t="s">
        <v>53</v>
      </c>
      <c r="L74" t="s">
        <v>57</v>
      </c>
      <c r="M74" t="s">
        <v>55</v>
      </c>
      <c r="N74" t="s">
        <v>56</v>
      </c>
      <c r="O74" t="s">
        <v>57</v>
      </c>
      <c r="P74" t="s">
        <v>58</v>
      </c>
      <c r="Q74" t="s">
        <v>97</v>
      </c>
      <c r="R74" t="s">
        <v>90</v>
      </c>
      <c r="S74" t="s">
        <v>61</v>
      </c>
      <c r="T74" t="s">
        <v>62</v>
      </c>
      <c r="U74" t="s">
        <v>63</v>
      </c>
      <c r="V74" t="s">
        <v>63</v>
      </c>
      <c r="W74" t="s">
        <v>64</v>
      </c>
      <c r="X74" t="s">
        <v>57</v>
      </c>
      <c r="Y74" t="s">
        <v>57</v>
      </c>
      <c r="Z74" t="s">
        <v>322</v>
      </c>
      <c r="AA74" t="s">
        <v>323</v>
      </c>
      <c r="AB74" t="s">
        <v>63</v>
      </c>
      <c r="AC74" t="s">
        <v>63</v>
      </c>
      <c r="AD74" t="s">
        <v>66</v>
      </c>
      <c r="AE74" t="s">
        <v>57</v>
      </c>
      <c r="AF74" t="s">
        <v>397</v>
      </c>
      <c r="AG74" t="s">
        <v>68</v>
      </c>
      <c r="AH74" t="s">
        <v>398</v>
      </c>
      <c r="AI74" t="s">
        <v>399</v>
      </c>
      <c r="AJ74" t="s">
        <v>71</v>
      </c>
      <c r="AK74" t="s">
        <v>72</v>
      </c>
      <c r="AL74" t="s">
        <v>57</v>
      </c>
      <c r="AM74" t="s">
        <v>400</v>
      </c>
      <c r="AN74" t="s">
        <v>57</v>
      </c>
      <c r="AO74" t="s">
        <v>57</v>
      </c>
      <c r="AP74" t="s">
        <v>75</v>
      </c>
      <c r="AQ74" t="s">
        <v>75</v>
      </c>
    </row>
    <row r="75" spans="1:43">
      <c r="A75" t="s">
        <v>390</v>
      </c>
      <c r="B75" t="s">
        <v>391</v>
      </c>
      <c r="C75" t="s">
        <v>392</v>
      </c>
      <c r="D75" t="s">
        <v>393</v>
      </c>
      <c r="E75" t="s">
        <v>394</v>
      </c>
      <c r="F75" t="s">
        <v>395</v>
      </c>
      <c r="G75" t="s">
        <v>102</v>
      </c>
      <c r="H75" t="s">
        <v>396</v>
      </c>
      <c r="I75" t="s">
        <v>89</v>
      </c>
      <c r="J75" t="s">
        <v>52</v>
      </c>
      <c r="K75" t="s">
        <v>53</v>
      </c>
      <c r="L75" t="s">
        <v>57</v>
      </c>
      <c r="M75" t="s">
        <v>55</v>
      </c>
      <c r="N75" t="s">
        <v>56</v>
      </c>
      <c r="O75" t="s">
        <v>57</v>
      </c>
      <c r="P75" t="s">
        <v>58</v>
      </c>
      <c r="Q75" t="s">
        <v>76</v>
      </c>
      <c r="R75" t="s">
        <v>90</v>
      </c>
      <c r="S75" t="s">
        <v>61</v>
      </c>
      <c r="T75" t="s">
        <v>62</v>
      </c>
      <c r="U75" t="s">
        <v>63</v>
      </c>
      <c r="V75" t="s">
        <v>63</v>
      </c>
      <c r="W75" t="s">
        <v>64</v>
      </c>
      <c r="X75" t="s">
        <v>57</v>
      </c>
      <c r="Y75" t="s">
        <v>57</v>
      </c>
      <c r="Z75" t="s">
        <v>322</v>
      </c>
      <c r="AA75" t="s">
        <v>323</v>
      </c>
      <c r="AB75" t="s">
        <v>63</v>
      </c>
      <c r="AC75" t="s">
        <v>63</v>
      </c>
      <c r="AD75" t="s">
        <v>66</v>
      </c>
      <c r="AE75" t="s">
        <v>57</v>
      </c>
      <c r="AF75" t="s">
        <v>397</v>
      </c>
      <c r="AG75" t="s">
        <v>68</v>
      </c>
      <c r="AH75" t="s">
        <v>398</v>
      </c>
      <c r="AI75" t="s">
        <v>399</v>
      </c>
      <c r="AJ75" t="s">
        <v>71</v>
      </c>
      <c r="AK75" t="s">
        <v>72</v>
      </c>
      <c r="AL75" t="s">
        <v>57</v>
      </c>
      <c r="AM75" t="s">
        <v>400</v>
      </c>
      <c r="AN75" t="s">
        <v>57</v>
      </c>
      <c r="AO75" t="s">
        <v>57</v>
      </c>
      <c r="AP75" t="s">
        <v>75</v>
      </c>
      <c r="AQ75" t="s">
        <v>75</v>
      </c>
    </row>
    <row r="76" spans="1:43">
      <c r="A76" t="s">
        <v>390</v>
      </c>
      <c r="B76" t="s">
        <v>391</v>
      </c>
      <c r="C76" t="s">
        <v>392</v>
      </c>
      <c r="D76" t="s">
        <v>393</v>
      </c>
      <c r="E76" t="s">
        <v>394</v>
      </c>
      <c r="F76" t="s">
        <v>395</v>
      </c>
      <c r="G76" t="s">
        <v>102</v>
      </c>
      <c r="H76" t="s">
        <v>396</v>
      </c>
      <c r="I76" t="s">
        <v>89</v>
      </c>
      <c r="J76" t="s">
        <v>52</v>
      </c>
      <c r="K76" t="s">
        <v>53</v>
      </c>
      <c r="L76" t="s">
        <v>57</v>
      </c>
      <c r="M76" t="s">
        <v>55</v>
      </c>
      <c r="N76" t="s">
        <v>56</v>
      </c>
      <c r="O76" t="s">
        <v>57</v>
      </c>
      <c r="P76" t="s">
        <v>58</v>
      </c>
      <c r="Q76" t="s">
        <v>77</v>
      </c>
      <c r="R76" t="s">
        <v>90</v>
      </c>
      <c r="S76" t="s">
        <v>61</v>
      </c>
      <c r="T76" t="s">
        <v>62</v>
      </c>
      <c r="U76" t="s">
        <v>63</v>
      </c>
      <c r="V76" t="s">
        <v>63</v>
      </c>
      <c r="W76" t="s">
        <v>64</v>
      </c>
      <c r="X76" t="s">
        <v>57</v>
      </c>
      <c r="Y76" t="s">
        <v>57</v>
      </c>
      <c r="Z76" t="s">
        <v>322</v>
      </c>
      <c r="AA76" t="s">
        <v>323</v>
      </c>
      <c r="AB76" t="s">
        <v>63</v>
      </c>
      <c r="AC76" t="s">
        <v>63</v>
      </c>
      <c r="AD76" t="s">
        <v>66</v>
      </c>
      <c r="AE76" t="s">
        <v>57</v>
      </c>
      <c r="AF76" t="s">
        <v>397</v>
      </c>
      <c r="AG76" t="s">
        <v>68</v>
      </c>
      <c r="AH76" t="s">
        <v>398</v>
      </c>
      <c r="AI76" t="s">
        <v>399</v>
      </c>
      <c r="AJ76" t="s">
        <v>71</v>
      </c>
      <c r="AK76" t="s">
        <v>72</v>
      </c>
      <c r="AL76" t="s">
        <v>57</v>
      </c>
      <c r="AM76" t="s">
        <v>400</v>
      </c>
      <c r="AN76" t="s">
        <v>57</v>
      </c>
      <c r="AO76" t="s">
        <v>57</v>
      </c>
      <c r="AP76" t="s">
        <v>75</v>
      </c>
      <c r="AQ76" t="s">
        <v>75</v>
      </c>
    </row>
    <row r="77" spans="1:43">
      <c r="A77" t="s">
        <v>401</v>
      </c>
      <c r="B77" t="s">
        <v>402</v>
      </c>
      <c r="C77" t="s">
        <v>403</v>
      </c>
      <c r="D77" t="s">
        <v>46</v>
      </c>
      <c r="E77" t="s">
        <v>47</v>
      </c>
      <c r="F77" t="s">
        <v>404</v>
      </c>
      <c r="G77" t="s">
        <v>290</v>
      </c>
      <c r="H77" t="s">
        <v>405</v>
      </c>
      <c r="I77" t="s">
        <v>51</v>
      </c>
      <c r="J77" t="s">
        <v>52</v>
      </c>
      <c r="K77" t="s">
        <v>53</v>
      </c>
      <c r="L77" t="s">
        <v>57</v>
      </c>
      <c r="M77" t="s">
        <v>55</v>
      </c>
      <c r="N77" t="s">
        <v>56</v>
      </c>
      <c r="O77" t="s">
        <v>57</v>
      </c>
      <c r="P77" t="s">
        <v>58</v>
      </c>
      <c r="Q77" t="s">
        <v>59</v>
      </c>
      <c r="R77" t="s">
        <v>60</v>
      </c>
      <c r="S77" t="s">
        <v>61</v>
      </c>
      <c r="T77" t="s">
        <v>62</v>
      </c>
      <c r="U77" t="s">
        <v>63</v>
      </c>
      <c r="V77" t="s">
        <v>63</v>
      </c>
      <c r="W77" t="s">
        <v>64</v>
      </c>
      <c r="X77" t="s">
        <v>57</v>
      </c>
      <c r="Y77" t="s">
        <v>57</v>
      </c>
      <c r="Z77" t="s">
        <v>406</v>
      </c>
      <c r="AA77" t="s">
        <v>407</v>
      </c>
      <c r="AB77" t="s">
        <v>63</v>
      </c>
      <c r="AC77" t="s">
        <v>63</v>
      </c>
      <c r="AD77" t="s">
        <v>66</v>
      </c>
      <c r="AE77" t="s">
        <v>57</v>
      </c>
      <c r="AF77" t="s">
        <v>408</v>
      </c>
      <c r="AG77" t="s">
        <v>68</v>
      </c>
      <c r="AH77" t="s">
        <v>398</v>
      </c>
      <c r="AI77" t="s">
        <v>409</v>
      </c>
      <c r="AJ77" t="s">
        <v>71</v>
      </c>
      <c r="AK77" t="s">
        <v>72</v>
      </c>
      <c r="AL77" t="s">
        <v>410</v>
      </c>
      <c r="AM77" t="s">
        <v>411</v>
      </c>
      <c r="AN77" t="s">
        <v>57</v>
      </c>
      <c r="AO77" t="s">
        <v>57</v>
      </c>
      <c r="AP77" t="s">
        <v>75</v>
      </c>
      <c r="AQ77" t="s">
        <v>75</v>
      </c>
    </row>
    <row r="78" spans="1:43">
      <c r="A78" t="s">
        <v>401</v>
      </c>
      <c r="B78" t="s">
        <v>402</v>
      </c>
      <c r="C78" t="s">
        <v>403</v>
      </c>
      <c r="D78" t="s">
        <v>46</v>
      </c>
      <c r="E78" t="s">
        <v>47</v>
      </c>
      <c r="F78" t="s">
        <v>404</v>
      </c>
      <c r="G78" t="s">
        <v>290</v>
      </c>
      <c r="H78" t="s">
        <v>405</v>
      </c>
      <c r="I78" t="s">
        <v>51</v>
      </c>
      <c r="J78" t="s">
        <v>52</v>
      </c>
      <c r="K78" t="s">
        <v>53</v>
      </c>
      <c r="L78" t="s">
        <v>57</v>
      </c>
      <c r="M78" t="s">
        <v>55</v>
      </c>
      <c r="N78" t="s">
        <v>56</v>
      </c>
      <c r="O78" t="s">
        <v>57</v>
      </c>
      <c r="P78" t="s">
        <v>58</v>
      </c>
      <c r="Q78" t="s">
        <v>76</v>
      </c>
      <c r="R78" t="s">
        <v>60</v>
      </c>
      <c r="S78" t="s">
        <v>61</v>
      </c>
      <c r="T78" t="s">
        <v>62</v>
      </c>
      <c r="U78" t="s">
        <v>63</v>
      </c>
      <c r="V78" t="s">
        <v>63</v>
      </c>
      <c r="W78" t="s">
        <v>64</v>
      </c>
      <c r="X78" t="s">
        <v>57</v>
      </c>
      <c r="Y78" t="s">
        <v>57</v>
      </c>
      <c r="Z78" t="s">
        <v>406</v>
      </c>
      <c r="AA78" t="s">
        <v>407</v>
      </c>
      <c r="AB78" t="s">
        <v>63</v>
      </c>
      <c r="AC78" t="s">
        <v>63</v>
      </c>
      <c r="AD78" t="s">
        <v>66</v>
      </c>
      <c r="AE78" t="s">
        <v>57</v>
      </c>
      <c r="AF78" t="s">
        <v>408</v>
      </c>
      <c r="AG78" t="s">
        <v>68</v>
      </c>
      <c r="AH78" t="s">
        <v>398</v>
      </c>
      <c r="AI78" t="s">
        <v>409</v>
      </c>
      <c r="AJ78" t="s">
        <v>71</v>
      </c>
      <c r="AK78" t="s">
        <v>72</v>
      </c>
      <c r="AL78" t="s">
        <v>410</v>
      </c>
      <c r="AM78" t="s">
        <v>411</v>
      </c>
      <c r="AN78" t="s">
        <v>57</v>
      </c>
      <c r="AO78" t="s">
        <v>57</v>
      </c>
      <c r="AP78" t="s">
        <v>75</v>
      </c>
      <c r="AQ78" t="s">
        <v>75</v>
      </c>
    </row>
    <row r="79" spans="1:43">
      <c r="A79" t="s">
        <v>401</v>
      </c>
      <c r="B79" t="s">
        <v>402</v>
      </c>
      <c r="C79" t="s">
        <v>403</v>
      </c>
      <c r="D79" t="s">
        <v>46</v>
      </c>
      <c r="E79" t="s">
        <v>47</v>
      </c>
      <c r="F79" t="s">
        <v>404</v>
      </c>
      <c r="G79" t="s">
        <v>290</v>
      </c>
      <c r="H79" t="s">
        <v>405</v>
      </c>
      <c r="I79" t="s">
        <v>51</v>
      </c>
      <c r="J79" t="s">
        <v>52</v>
      </c>
      <c r="K79" t="s">
        <v>53</v>
      </c>
      <c r="L79" t="s">
        <v>57</v>
      </c>
      <c r="M79" t="s">
        <v>55</v>
      </c>
      <c r="N79" t="s">
        <v>56</v>
      </c>
      <c r="O79" t="s">
        <v>57</v>
      </c>
      <c r="P79" t="s">
        <v>58</v>
      </c>
      <c r="Q79" t="s">
        <v>77</v>
      </c>
      <c r="R79" t="s">
        <v>60</v>
      </c>
      <c r="S79" t="s">
        <v>61</v>
      </c>
      <c r="T79" t="s">
        <v>62</v>
      </c>
      <c r="U79" t="s">
        <v>63</v>
      </c>
      <c r="V79" t="s">
        <v>63</v>
      </c>
      <c r="W79" t="s">
        <v>64</v>
      </c>
      <c r="X79" t="s">
        <v>57</v>
      </c>
      <c r="Y79" t="s">
        <v>57</v>
      </c>
      <c r="Z79" t="s">
        <v>406</v>
      </c>
      <c r="AA79" t="s">
        <v>407</v>
      </c>
      <c r="AB79" t="s">
        <v>63</v>
      </c>
      <c r="AC79" t="s">
        <v>63</v>
      </c>
      <c r="AD79" t="s">
        <v>66</v>
      </c>
      <c r="AE79" t="s">
        <v>57</v>
      </c>
      <c r="AF79" t="s">
        <v>408</v>
      </c>
      <c r="AG79" t="s">
        <v>68</v>
      </c>
      <c r="AH79" t="s">
        <v>398</v>
      </c>
      <c r="AI79" t="s">
        <v>409</v>
      </c>
      <c r="AJ79" t="s">
        <v>71</v>
      </c>
      <c r="AK79" t="s">
        <v>72</v>
      </c>
      <c r="AL79" t="s">
        <v>410</v>
      </c>
      <c r="AM79" t="s">
        <v>411</v>
      </c>
      <c r="AN79" t="s">
        <v>57</v>
      </c>
      <c r="AO79" t="s">
        <v>57</v>
      </c>
      <c r="AP79" t="s">
        <v>75</v>
      </c>
      <c r="AQ79" t="s">
        <v>75</v>
      </c>
    </row>
    <row r="80" spans="1:43">
      <c r="A80" t="s">
        <v>412</v>
      </c>
      <c r="B80" t="s">
        <v>402</v>
      </c>
      <c r="C80" t="s">
        <v>413</v>
      </c>
      <c r="D80" t="s">
        <v>46</v>
      </c>
      <c r="E80" t="s">
        <v>47</v>
      </c>
      <c r="F80" t="s">
        <v>414</v>
      </c>
      <c r="G80" t="s">
        <v>342</v>
      </c>
      <c r="H80" t="s">
        <v>405</v>
      </c>
      <c r="I80" t="s">
        <v>89</v>
      </c>
      <c r="J80" t="s">
        <v>52</v>
      </c>
      <c r="K80" t="s">
        <v>53</v>
      </c>
      <c r="L80" t="s">
        <v>57</v>
      </c>
      <c r="M80" t="s">
        <v>55</v>
      </c>
      <c r="N80" t="s">
        <v>56</v>
      </c>
      <c r="O80" t="s">
        <v>57</v>
      </c>
      <c r="P80" t="s">
        <v>58</v>
      </c>
      <c r="Q80" t="s">
        <v>97</v>
      </c>
      <c r="R80" t="s">
        <v>344</v>
      </c>
      <c r="S80" t="s">
        <v>61</v>
      </c>
      <c r="T80" t="s">
        <v>62</v>
      </c>
      <c r="U80" t="s">
        <v>63</v>
      </c>
      <c r="V80" t="s">
        <v>63</v>
      </c>
      <c r="W80" t="s">
        <v>64</v>
      </c>
      <c r="X80" t="s">
        <v>57</v>
      </c>
      <c r="Y80" t="s">
        <v>57</v>
      </c>
      <c r="Z80" t="s">
        <v>406</v>
      </c>
      <c r="AA80" t="s">
        <v>407</v>
      </c>
      <c r="AB80" t="s">
        <v>63</v>
      </c>
      <c r="AC80" t="s">
        <v>63</v>
      </c>
      <c r="AD80" t="s">
        <v>66</v>
      </c>
      <c r="AE80" t="s">
        <v>57</v>
      </c>
      <c r="AF80" t="s">
        <v>415</v>
      </c>
      <c r="AG80" t="s">
        <v>68</v>
      </c>
      <c r="AH80" t="s">
        <v>398</v>
      </c>
      <c r="AI80" t="s">
        <v>416</v>
      </c>
      <c r="AJ80" t="s">
        <v>71</v>
      </c>
      <c r="AK80" t="s">
        <v>72</v>
      </c>
      <c r="AL80" t="s">
        <v>417</v>
      </c>
      <c r="AM80" t="s">
        <v>418</v>
      </c>
      <c r="AN80" t="s">
        <v>57</v>
      </c>
      <c r="AO80" t="s">
        <v>57</v>
      </c>
      <c r="AP80" t="s">
        <v>75</v>
      </c>
      <c r="AQ80" t="s">
        <v>75</v>
      </c>
    </row>
    <row r="81" spans="1:43">
      <c r="A81" t="s">
        <v>412</v>
      </c>
      <c r="B81" t="s">
        <v>402</v>
      </c>
      <c r="C81" t="s">
        <v>413</v>
      </c>
      <c r="D81" t="s">
        <v>46</v>
      </c>
      <c r="E81" t="s">
        <v>47</v>
      </c>
      <c r="F81" t="s">
        <v>414</v>
      </c>
      <c r="G81" t="s">
        <v>342</v>
      </c>
      <c r="H81" t="s">
        <v>405</v>
      </c>
      <c r="I81" t="s">
        <v>89</v>
      </c>
      <c r="J81" t="s">
        <v>52</v>
      </c>
      <c r="K81" t="s">
        <v>53</v>
      </c>
      <c r="L81" t="s">
        <v>57</v>
      </c>
      <c r="M81" t="s">
        <v>55</v>
      </c>
      <c r="N81" t="s">
        <v>56</v>
      </c>
      <c r="O81" t="s">
        <v>57</v>
      </c>
      <c r="P81" t="s">
        <v>58</v>
      </c>
      <c r="Q81" t="s">
        <v>419</v>
      </c>
      <c r="R81" t="s">
        <v>344</v>
      </c>
      <c r="S81" t="s">
        <v>61</v>
      </c>
      <c r="T81" t="s">
        <v>62</v>
      </c>
      <c r="U81" t="s">
        <v>63</v>
      </c>
      <c r="V81" t="s">
        <v>63</v>
      </c>
      <c r="W81" t="s">
        <v>64</v>
      </c>
      <c r="X81" t="s">
        <v>57</v>
      </c>
      <c r="Y81" t="s">
        <v>57</v>
      </c>
      <c r="Z81" t="s">
        <v>406</v>
      </c>
      <c r="AA81" t="s">
        <v>407</v>
      </c>
      <c r="AB81" t="s">
        <v>63</v>
      </c>
      <c r="AC81" t="s">
        <v>63</v>
      </c>
      <c r="AD81" t="s">
        <v>66</v>
      </c>
      <c r="AE81" t="s">
        <v>57</v>
      </c>
      <c r="AF81" t="s">
        <v>415</v>
      </c>
      <c r="AG81" t="s">
        <v>68</v>
      </c>
      <c r="AH81" t="s">
        <v>398</v>
      </c>
      <c r="AI81" t="s">
        <v>416</v>
      </c>
      <c r="AJ81" t="s">
        <v>71</v>
      </c>
      <c r="AK81" t="s">
        <v>72</v>
      </c>
      <c r="AL81" t="s">
        <v>417</v>
      </c>
      <c r="AM81" t="s">
        <v>418</v>
      </c>
      <c r="AN81" t="s">
        <v>57</v>
      </c>
      <c r="AO81" t="s">
        <v>57</v>
      </c>
      <c r="AP81" t="s">
        <v>75</v>
      </c>
      <c r="AQ81" t="s">
        <v>75</v>
      </c>
    </row>
    <row r="82" spans="1:43">
      <c r="A82" t="s">
        <v>412</v>
      </c>
      <c r="B82" t="s">
        <v>402</v>
      </c>
      <c r="C82" t="s">
        <v>413</v>
      </c>
      <c r="D82" t="s">
        <v>46</v>
      </c>
      <c r="E82" t="s">
        <v>47</v>
      </c>
      <c r="F82" t="s">
        <v>414</v>
      </c>
      <c r="G82" t="s">
        <v>342</v>
      </c>
      <c r="H82" t="s">
        <v>405</v>
      </c>
      <c r="I82" t="s">
        <v>89</v>
      </c>
      <c r="J82" t="s">
        <v>52</v>
      </c>
      <c r="K82" t="s">
        <v>53</v>
      </c>
      <c r="L82" t="s">
        <v>57</v>
      </c>
      <c r="M82" t="s">
        <v>55</v>
      </c>
      <c r="N82" t="s">
        <v>56</v>
      </c>
      <c r="O82" t="s">
        <v>57</v>
      </c>
      <c r="P82" t="s">
        <v>58</v>
      </c>
      <c r="Q82" t="s">
        <v>77</v>
      </c>
      <c r="R82" t="s">
        <v>344</v>
      </c>
      <c r="S82" t="s">
        <v>61</v>
      </c>
      <c r="T82" t="s">
        <v>62</v>
      </c>
      <c r="U82" t="s">
        <v>63</v>
      </c>
      <c r="V82" t="s">
        <v>63</v>
      </c>
      <c r="W82" t="s">
        <v>64</v>
      </c>
      <c r="X82" t="s">
        <v>57</v>
      </c>
      <c r="Y82" t="s">
        <v>57</v>
      </c>
      <c r="Z82" t="s">
        <v>406</v>
      </c>
      <c r="AA82" t="s">
        <v>407</v>
      </c>
      <c r="AB82" t="s">
        <v>63</v>
      </c>
      <c r="AC82" t="s">
        <v>63</v>
      </c>
      <c r="AD82" t="s">
        <v>66</v>
      </c>
      <c r="AE82" t="s">
        <v>57</v>
      </c>
      <c r="AF82" t="s">
        <v>415</v>
      </c>
      <c r="AG82" t="s">
        <v>68</v>
      </c>
      <c r="AH82" t="s">
        <v>398</v>
      </c>
      <c r="AI82" t="s">
        <v>416</v>
      </c>
      <c r="AJ82" t="s">
        <v>71</v>
      </c>
      <c r="AK82" t="s">
        <v>72</v>
      </c>
      <c r="AL82" t="s">
        <v>417</v>
      </c>
      <c r="AM82" t="s">
        <v>418</v>
      </c>
      <c r="AN82" t="s">
        <v>57</v>
      </c>
      <c r="AO82" t="s">
        <v>57</v>
      </c>
      <c r="AP82" t="s">
        <v>75</v>
      </c>
      <c r="AQ82" t="s">
        <v>75</v>
      </c>
    </row>
    <row r="83" spans="1:43">
      <c r="A83" t="s">
        <v>420</v>
      </c>
      <c r="B83" t="s">
        <v>421</v>
      </c>
      <c r="C83" t="s">
        <v>422</v>
      </c>
      <c r="D83" t="s">
        <v>46</v>
      </c>
      <c r="E83" t="s">
        <v>47</v>
      </c>
      <c r="F83" t="s">
        <v>423</v>
      </c>
      <c r="G83" t="s">
        <v>80</v>
      </c>
      <c r="H83" t="s">
        <v>424</v>
      </c>
      <c r="I83" t="s">
        <v>51</v>
      </c>
      <c r="J83" t="s">
        <v>52</v>
      </c>
      <c r="K83" t="s">
        <v>53</v>
      </c>
      <c r="L83" t="s">
        <v>57</v>
      </c>
      <c r="M83" t="s">
        <v>55</v>
      </c>
      <c r="N83" t="s">
        <v>56</v>
      </c>
      <c r="O83" t="s">
        <v>57</v>
      </c>
      <c r="P83" t="s">
        <v>58</v>
      </c>
      <c r="Q83" t="s">
        <v>76</v>
      </c>
      <c r="R83" t="s">
        <v>60</v>
      </c>
      <c r="S83" t="s">
        <v>61</v>
      </c>
      <c r="T83" t="s">
        <v>62</v>
      </c>
      <c r="U83" t="s">
        <v>63</v>
      </c>
      <c r="V83" t="s">
        <v>63</v>
      </c>
      <c r="W83" t="s">
        <v>64</v>
      </c>
      <c r="X83" t="s">
        <v>57</v>
      </c>
      <c r="Y83" t="s">
        <v>57</v>
      </c>
      <c r="Z83" t="s">
        <v>322</v>
      </c>
      <c r="AA83" t="s">
        <v>323</v>
      </c>
      <c r="AB83" t="s">
        <v>63</v>
      </c>
      <c r="AC83" t="s">
        <v>63</v>
      </c>
      <c r="AD83" t="s">
        <v>66</v>
      </c>
      <c r="AE83" t="s">
        <v>57</v>
      </c>
      <c r="AF83" t="s">
        <v>425</v>
      </c>
      <c r="AG83" t="s">
        <v>68</v>
      </c>
      <c r="AH83" t="s">
        <v>398</v>
      </c>
      <c r="AI83" t="s">
        <v>426</v>
      </c>
      <c r="AJ83" t="s">
        <v>71</v>
      </c>
      <c r="AK83" t="s">
        <v>72</v>
      </c>
      <c r="AL83" t="s">
        <v>57</v>
      </c>
      <c r="AM83" t="s">
        <v>427</v>
      </c>
      <c r="AN83" t="s">
        <v>57</v>
      </c>
      <c r="AO83" t="s">
        <v>57</v>
      </c>
      <c r="AP83" t="s">
        <v>75</v>
      </c>
      <c r="AQ83" t="s">
        <v>75</v>
      </c>
    </row>
    <row r="84" spans="1:43">
      <c r="A84" t="s">
        <v>420</v>
      </c>
      <c r="B84" t="s">
        <v>421</v>
      </c>
      <c r="C84" t="s">
        <v>422</v>
      </c>
      <c r="D84" t="s">
        <v>46</v>
      </c>
      <c r="E84" t="s">
        <v>47</v>
      </c>
      <c r="F84" t="s">
        <v>423</v>
      </c>
      <c r="G84" t="s">
        <v>80</v>
      </c>
      <c r="H84" t="s">
        <v>424</v>
      </c>
      <c r="I84" t="s">
        <v>51</v>
      </c>
      <c r="J84" t="s">
        <v>52</v>
      </c>
      <c r="K84" t="s">
        <v>53</v>
      </c>
      <c r="L84" t="s">
        <v>57</v>
      </c>
      <c r="M84" t="s">
        <v>55</v>
      </c>
      <c r="N84" t="s">
        <v>56</v>
      </c>
      <c r="O84" t="s">
        <v>57</v>
      </c>
      <c r="P84" t="s">
        <v>58</v>
      </c>
      <c r="Q84" t="s">
        <v>77</v>
      </c>
      <c r="R84" t="s">
        <v>60</v>
      </c>
      <c r="S84" t="s">
        <v>61</v>
      </c>
      <c r="T84" t="s">
        <v>62</v>
      </c>
      <c r="U84" t="s">
        <v>63</v>
      </c>
      <c r="V84" t="s">
        <v>63</v>
      </c>
      <c r="W84" t="s">
        <v>64</v>
      </c>
      <c r="X84" t="s">
        <v>57</v>
      </c>
      <c r="Y84" t="s">
        <v>57</v>
      </c>
      <c r="Z84" t="s">
        <v>322</v>
      </c>
      <c r="AA84" t="s">
        <v>323</v>
      </c>
      <c r="AB84" t="s">
        <v>63</v>
      </c>
      <c r="AC84" t="s">
        <v>63</v>
      </c>
      <c r="AD84" t="s">
        <v>66</v>
      </c>
      <c r="AE84" t="s">
        <v>57</v>
      </c>
      <c r="AF84" t="s">
        <v>425</v>
      </c>
      <c r="AG84" t="s">
        <v>68</v>
      </c>
      <c r="AH84" t="s">
        <v>398</v>
      </c>
      <c r="AI84" t="s">
        <v>426</v>
      </c>
      <c r="AJ84" t="s">
        <v>71</v>
      </c>
      <c r="AK84" t="s">
        <v>72</v>
      </c>
      <c r="AL84" t="s">
        <v>57</v>
      </c>
      <c r="AM84" t="s">
        <v>427</v>
      </c>
      <c r="AN84" t="s">
        <v>57</v>
      </c>
      <c r="AO84" t="s">
        <v>57</v>
      </c>
      <c r="AP84" t="s">
        <v>75</v>
      </c>
      <c r="AQ84" t="s">
        <v>75</v>
      </c>
    </row>
    <row r="85" spans="1:43">
      <c r="A85" t="s">
        <v>420</v>
      </c>
      <c r="B85" t="s">
        <v>421</v>
      </c>
      <c r="C85" t="s">
        <v>422</v>
      </c>
      <c r="D85" t="s">
        <v>46</v>
      </c>
      <c r="E85" t="s">
        <v>47</v>
      </c>
      <c r="F85" t="s">
        <v>423</v>
      </c>
      <c r="G85" t="s">
        <v>80</v>
      </c>
      <c r="H85" t="s">
        <v>424</v>
      </c>
      <c r="I85" t="s">
        <v>51</v>
      </c>
      <c r="J85" t="s">
        <v>52</v>
      </c>
      <c r="K85" t="s">
        <v>53</v>
      </c>
      <c r="L85" t="s">
        <v>57</v>
      </c>
      <c r="M85" t="s">
        <v>55</v>
      </c>
      <c r="N85" t="s">
        <v>56</v>
      </c>
      <c r="O85" t="s">
        <v>57</v>
      </c>
      <c r="P85" t="s">
        <v>58</v>
      </c>
      <c r="Q85" t="s">
        <v>59</v>
      </c>
      <c r="R85" t="s">
        <v>60</v>
      </c>
      <c r="S85" t="s">
        <v>61</v>
      </c>
      <c r="T85" t="s">
        <v>62</v>
      </c>
      <c r="U85" t="s">
        <v>63</v>
      </c>
      <c r="V85" t="s">
        <v>63</v>
      </c>
      <c r="W85" t="s">
        <v>64</v>
      </c>
      <c r="X85" t="s">
        <v>57</v>
      </c>
      <c r="Y85" t="s">
        <v>57</v>
      </c>
      <c r="Z85" t="s">
        <v>322</v>
      </c>
      <c r="AA85" t="s">
        <v>323</v>
      </c>
      <c r="AB85" t="s">
        <v>63</v>
      </c>
      <c r="AC85" t="s">
        <v>63</v>
      </c>
      <c r="AD85" t="s">
        <v>66</v>
      </c>
      <c r="AE85" t="s">
        <v>57</v>
      </c>
      <c r="AF85" t="s">
        <v>425</v>
      </c>
      <c r="AG85" t="s">
        <v>68</v>
      </c>
      <c r="AH85" t="s">
        <v>398</v>
      </c>
      <c r="AI85" t="s">
        <v>426</v>
      </c>
      <c r="AJ85" t="s">
        <v>71</v>
      </c>
      <c r="AK85" t="s">
        <v>72</v>
      </c>
      <c r="AL85" t="s">
        <v>57</v>
      </c>
      <c r="AM85" t="s">
        <v>427</v>
      </c>
      <c r="AN85" t="s">
        <v>57</v>
      </c>
      <c r="AO85" t="s">
        <v>57</v>
      </c>
      <c r="AP85" t="s">
        <v>75</v>
      </c>
      <c r="AQ85" t="s">
        <v>75</v>
      </c>
    </row>
    <row r="86" spans="1:43">
      <c r="A86" t="s">
        <v>428</v>
      </c>
      <c r="B86" t="s">
        <v>421</v>
      </c>
      <c r="C86" t="s">
        <v>422</v>
      </c>
      <c r="D86" t="s">
        <v>46</v>
      </c>
      <c r="E86" t="s">
        <v>47</v>
      </c>
      <c r="F86" t="s">
        <v>429</v>
      </c>
      <c r="G86" t="s">
        <v>49</v>
      </c>
      <c r="H86" t="s">
        <v>424</v>
      </c>
      <c r="I86" t="s">
        <v>89</v>
      </c>
      <c r="J86" t="s">
        <v>52</v>
      </c>
      <c r="K86" t="s">
        <v>53</v>
      </c>
      <c r="L86" t="s">
        <v>57</v>
      </c>
      <c r="M86" t="s">
        <v>55</v>
      </c>
      <c r="N86" t="s">
        <v>56</v>
      </c>
      <c r="O86" t="s">
        <v>57</v>
      </c>
      <c r="P86" t="s">
        <v>58</v>
      </c>
      <c r="Q86" t="s">
        <v>59</v>
      </c>
      <c r="R86" t="s">
        <v>126</v>
      </c>
      <c r="S86" t="s">
        <v>61</v>
      </c>
      <c r="T86" t="s">
        <v>62</v>
      </c>
      <c r="U86" t="s">
        <v>63</v>
      </c>
      <c r="V86" t="s">
        <v>63</v>
      </c>
      <c r="W86" t="s">
        <v>64</v>
      </c>
      <c r="X86" t="s">
        <v>57</v>
      </c>
      <c r="Y86" t="s">
        <v>57</v>
      </c>
      <c r="Z86" t="s">
        <v>322</v>
      </c>
      <c r="AA86" t="s">
        <v>323</v>
      </c>
      <c r="AB86" t="s">
        <v>63</v>
      </c>
      <c r="AC86" t="s">
        <v>63</v>
      </c>
      <c r="AD86" t="s">
        <v>66</v>
      </c>
      <c r="AE86" t="s">
        <v>57</v>
      </c>
      <c r="AF86" t="s">
        <v>430</v>
      </c>
      <c r="AG86" t="s">
        <v>68</v>
      </c>
      <c r="AH86" t="s">
        <v>398</v>
      </c>
      <c r="AI86" t="s">
        <v>431</v>
      </c>
      <c r="AJ86" t="s">
        <v>71</v>
      </c>
      <c r="AK86" t="s">
        <v>72</v>
      </c>
      <c r="AL86" t="s">
        <v>57</v>
      </c>
      <c r="AM86" t="s">
        <v>432</v>
      </c>
      <c r="AN86" t="s">
        <v>57</v>
      </c>
      <c r="AO86" t="s">
        <v>57</v>
      </c>
      <c r="AP86" t="s">
        <v>75</v>
      </c>
      <c r="AQ86" t="s">
        <v>75</v>
      </c>
    </row>
    <row r="87" spans="1:43">
      <c r="A87" t="s">
        <v>428</v>
      </c>
      <c r="B87" t="s">
        <v>421</v>
      </c>
      <c r="C87" t="s">
        <v>422</v>
      </c>
      <c r="D87" t="s">
        <v>46</v>
      </c>
      <c r="E87" t="s">
        <v>47</v>
      </c>
      <c r="F87" t="s">
        <v>429</v>
      </c>
      <c r="G87" t="s">
        <v>49</v>
      </c>
      <c r="H87" t="s">
        <v>424</v>
      </c>
      <c r="I87" t="s">
        <v>89</v>
      </c>
      <c r="J87" t="s">
        <v>52</v>
      </c>
      <c r="K87" t="s">
        <v>53</v>
      </c>
      <c r="L87" t="s">
        <v>57</v>
      </c>
      <c r="M87" t="s">
        <v>55</v>
      </c>
      <c r="N87" t="s">
        <v>56</v>
      </c>
      <c r="O87" t="s">
        <v>57</v>
      </c>
      <c r="P87" t="s">
        <v>58</v>
      </c>
      <c r="Q87" t="s">
        <v>76</v>
      </c>
      <c r="R87" t="s">
        <v>126</v>
      </c>
      <c r="S87" t="s">
        <v>61</v>
      </c>
      <c r="T87" t="s">
        <v>62</v>
      </c>
      <c r="U87" t="s">
        <v>63</v>
      </c>
      <c r="V87" t="s">
        <v>63</v>
      </c>
      <c r="W87" t="s">
        <v>64</v>
      </c>
      <c r="X87" t="s">
        <v>57</v>
      </c>
      <c r="Y87" t="s">
        <v>57</v>
      </c>
      <c r="Z87" t="s">
        <v>322</v>
      </c>
      <c r="AA87" t="s">
        <v>323</v>
      </c>
      <c r="AB87" t="s">
        <v>63</v>
      </c>
      <c r="AC87" t="s">
        <v>63</v>
      </c>
      <c r="AD87" t="s">
        <v>66</v>
      </c>
      <c r="AE87" t="s">
        <v>57</v>
      </c>
      <c r="AF87" t="s">
        <v>430</v>
      </c>
      <c r="AG87" t="s">
        <v>68</v>
      </c>
      <c r="AH87" t="s">
        <v>398</v>
      </c>
      <c r="AI87" t="s">
        <v>431</v>
      </c>
      <c r="AJ87" t="s">
        <v>71</v>
      </c>
      <c r="AK87" t="s">
        <v>72</v>
      </c>
      <c r="AL87" t="s">
        <v>57</v>
      </c>
      <c r="AM87" t="s">
        <v>432</v>
      </c>
      <c r="AN87" t="s">
        <v>57</v>
      </c>
      <c r="AO87" t="s">
        <v>57</v>
      </c>
      <c r="AP87" t="s">
        <v>75</v>
      </c>
      <c r="AQ87" t="s">
        <v>75</v>
      </c>
    </row>
    <row r="88" spans="1:43">
      <c r="A88" t="s">
        <v>428</v>
      </c>
      <c r="B88" t="s">
        <v>421</v>
      </c>
      <c r="C88" t="s">
        <v>422</v>
      </c>
      <c r="D88" t="s">
        <v>46</v>
      </c>
      <c r="E88" t="s">
        <v>47</v>
      </c>
      <c r="F88" t="s">
        <v>429</v>
      </c>
      <c r="G88" t="s">
        <v>49</v>
      </c>
      <c r="H88" t="s">
        <v>424</v>
      </c>
      <c r="I88" t="s">
        <v>89</v>
      </c>
      <c r="J88" t="s">
        <v>52</v>
      </c>
      <c r="K88" t="s">
        <v>53</v>
      </c>
      <c r="L88" t="s">
        <v>57</v>
      </c>
      <c r="M88" t="s">
        <v>55</v>
      </c>
      <c r="N88" t="s">
        <v>56</v>
      </c>
      <c r="O88" t="s">
        <v>57</v>
      </c>
      <c r="P88" t="s">
        <v>58</v>
      </c>
      <c r="Q88" t="s">
        <v>77</v>
      </c>
      <c r="R88" t="s">
        <v>126</v>
      </c>
      <c r="S88" t="s">
        <v>61</v>
      </c>
      <c r="T88" t="s">
        <v>62</v>
      </c>
      <c r="U88" t="s">
        <v>63</v>
      </c>
      <c r="V88" t="s">
        <v>63</v>
      </c>
      <c r="W88" t="s">
        <v>64</v>
      </c>
      <c r="X88" t="s">
        <v>57</v>
      </c>
      <c r="Y88" t="s">
        <v>57</v>
      </c>
      <c r="Z88" t="s">
        <v>322</v>
      </c>
      <c r="AA88" t="s">
        <v>323</v>
      </c>
      <c r="AB88" t="s">
        <v>63</v>
      </c>
      <c r="AC88" t="s">
        <v>63</v>
      </c>
      <c r="AD88" t="s">
        <v>66</v>
      </c>
      <c r="AE88" t="s">
        <v>57</v>
      </c>
      <c r="AF88" t="s">
        <v>430</v>
      </c>
      <c r="AG88" t="s">
        <v>68</v>
      </c>
      <c r="AH88" t="s">
        <v>398</v>
      </c>
      <c r="AI88" t="s">
        <v>431</v>
      </c>
      <c r="AJ88" t="s">
        <v>71</v>
      </c>
      <c r="AK88" t="s">
        <v>72</v>
      </c>
      <c r="AL88" t="s">
        <v>57</v>
      </c>
      <c r="AM88" t="s">
        <v>432</v>
      </c>
      <c r="AN88" t="s">
        <v>57</v>
      </c>
      <c r="AO88" t="s">
        <v>57</v>
      </c>
      <c r="AP88" t="s">
        <v>75</v>
      </c>
      <c r="AQ88" t="s">
        <v>75</v>
      </c>
    </row>
  </sheetData>
  <pageMargins left="0" right="0" top="0" bottom="0" header="0" footer="0"/>
  <ignoredErrors>
    <ignoredError sqref="A1:AQ1 A6:Q6 A5:Q5 S5:AQ5 A86:Q86 A85:Q85 S85:AQ85 A84:Q84 S84:AQ84 A83:Q83 S83:AQ83 A64:AQ76 A63:Q63 S63:AQ63 A62:Q62 S62:AQ62 A61:Q61 S61:AQ61 A31:AQ34 A30:Q30 S30:AQ30 A29:Q29 S29:AQ29 A23:AQ28 A22:Q22 S22:AQ22 A21:Q21 S21:AQ21 A20:Q20 S20:AQ20 A8:AQ19 A7:Q7 S7:AQ7 S6:AQ6 A4:Q4 S4:AQ4 A3:Q3 S3:AQ3 A2:Q2 S2:AQ2 A80:AQ82 A79:Q79 S79:AQ79 A78:Q78 S78:AQ78 A77:Q77 S77:AQ77 A37:AQ46 A36:Q36 S36:AQ36 A35:Q35 S35:AQ35 A50:AQ60 A49:Q49 S49:AQ49 A48:Q48 S48:AQ48 A47:Q47 S47:AQ47 A88:Q88 S88:AQ88 A87:Q87 S87:AQ87 S86:AQ8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F3D4-E6E2-4BBD-9617-6B9BBD815CF5}">
  <dimension ref="A1:AB27"/>
  <sheetViews>
    <sheetView workbookViewId="0">
      <selection activeCell="L6" sqref="L6"/>
    </sheetView>
  </sheetViews>
  <sheetFormatPr defaultColWidth="9" defaultRowHeight="15.6"/>
  <cols>
    <col min="2" max="6" width="9" hidden="1" customWidth="1"/>
    <col min="7" max="7" width="7" hidden="1" customWidth="1"/>
    <col min="8" max="11" width="9" hidden="1" customWidth="1"/>
    <col min="12" max="12" width="9" bestFit="1" customWidth="1"/>
    <col min="13" max="13" width="9" hidden="1" customWidth="1"/>
    <col min="15" max="15" width="0" hidden="1" customWidth="1"/>
    <col min="17" max="18" width="0" hidden="1" customWidth="1"/>
    <col min="20" max="20" width="0" hidden="1" customWidth="1"/>
    <col min="22" max="23" width="0" hidden="1" customWidth="1"/>
    <col min="25" max="27" width="0" hidden="1" customWidth="1"/>
  </cols>
  <sheetData>
    <row r="1" spans="1:28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2" t="s">
        <v>433</v>
      </c>
      <c r="B3" s="3" t="s">
        <v>434</v>
      </c>
      <c r="C3" s="3" t="s">
        <v>435</v>
      </c>
      <c r="D3" s="3" t="s">
        <v>436</v>
      </c>
      <c r="E3" s="3" t="s">
        <v>437</v>
      </c>
      <c r="F3" s="3" t="s">
        <v>438</v>
      </c>
      <c r="G3" s="3" t="s">
        <v>439</v>
      </c>
      <c r="H3" s="3" t="s">
        <v>440</v>
      </c>
      <c r="I3" s="3" t="s">
        <v>441</v>
      </c>
      <c r="J3" s="3" t="s">
        <v>442</v>
      </c>
      <c r="K3" s="3" t="s">
        <v>443</v>
      </c>
      <c r="L3" s="3" t="s">
        <v>59</v>
      </c>
      <c r="M3" s="3" t="s">
        <v>444</v>
      </c>
      <c r="N3" s="3" t="s">
        <v>97</v>
      </c>
      <c r="O3" s="3" t="s">
        <v>445</v>
      </c>
      <c r="P3" s="3" t="s">
        <v>419</v>
      </c>
      <c r="Q3" s="3" t="s">
        <v>446</v>
      </c>
      <c r="R3" s="3" t="s">
        <v>447</v>
      </c>
      <c r="S3" s="3" t="s">
        <v>149</v>
      </c>
      <c r="T3" s="3" t="s">
        <v>448</v>
      </c>
      <c r="U3" s="3" t="s">
        <v>76</v>
      </c>
      <c r="V3" s="3" t="s">
        <v>449</v>
      </c>
      <c r="W3" s="3" t="s">
        <v>450</v>
      </c>
      <c r="X3" s="3" t="s">
        <v>77</v>
      </c>
      <c r="Y3" s="3" t="s">
        <v>451</v>
      </c>
      <c r="Z3" s="4" t="s">
        <v>452</v>
      </c>
      <c r="AA3" s="5" t="s">
        <v>453</v>
      </c>
      <c r="AB3" s="6"/>
    </row>
    <row r="4" spans="1:28">
      <c r="A4" s="7" t="s">
        <v>454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/>
    </row>
    <row r="5" spans="1:28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1"/>
    </row>
    <row r="6" spans="1:28">
      <c r="A6" s="9" t="s">
        <v>60</v>
      </c>
      <c r="B6" s="10">
        <f>COUNTIFS(Sheet1!$R:$R,$A6,Sheet1!$S:$S,$A$1,Sheet1!$Q:$Q,B$3)</f>
        <v>0</v>
      </c>
      <c r="C6" s="10">
        <f>COUNTIFS(Sheet1!$R:$R,$A6,Sheet1!$S:$S,$A$1,Sheet1!$Q:$Q,C$3)</f>
        <v>0</v>
      </c>
      <c r="D6" s="10">
        <f>COUNTIFS(Sheet1!$R:$R,$A6,Sheet1!$S:$S,$A$1,Sheet1!$Q:$Q,D$3)</f>
        <v>0</v>
      </c>
      <c r="E6" s="10">
        <f>COUNTIFS(Sheet1!$R:$R,$A6,Sheet1!$S:$S,$A$1,Sheet1!$Q:$Q,E$3)</f>
        <v>0</v>
      </c>
      <c r="F6" s="10">
        <f>COUNTIFS(Sheet1!$R:$R,$A6,Sheet1!$S:$S,$A$1,Sheet1!$Q:$Q,F$3)</f>
        <v>0</v>
      </c>
      <c r="G6" s="10">
        <f>COUNTIFS(Sheet1!$R:$R,$A6,Sheet1!$S:$S,$A$1,Sheet1!$Q:$Q,G$3)</f>
        <v>0</v>
      </c>
      <c r="H6" s="10">
        <f>COUNTIFS(Sheet1!$R:$R,$A6,Sheet1!$S:$S,$A$1,Sheet1!$Q:$Q,H$3)</f>
        <v>0</v>
      </c>
      <c r="I6" s="10">
        <f>COUNTIFS(Sheet1!$R:$R,$A6,Sheet1!$S:$S,$A$1,Sheet1!$Q:$Q,I$3)</f>
        <v>0</v>
      </c>
      <c r="J6" s="10">
        <f>COUNTIFS(Sheet1!$R:$R,$A6,Sheet1!$S:$S,$A$1,Sheet1!$Q:$Q,J$3)</f>
        <v>0</v>
      </c>
      <c r="K6" s="10">
        <f>COUNTIFS(Sheet1!$R:$R,$A6,Sheet1!$S:$S,$A$1,Sheet1!$Q:$Q,K$3)</f>
        <v>0</v>
      </c>
      <c r="L6" s="10">
        <f>COUNTIFS(Sheet1!$R:$R,$A6,Sheet1!$S:$S,$A$1,Sheet1!$Q:$Q,L$3)</f>
        <v>8</v>
      </c>
      <c r="M6" s="10">
        <f>COUNTIFS(Sheet1!$R:$R,$A6,Sheet1!$S:$S,$A$1,Sheet1!$Q:$Q,M$3)</f>
        <v>0</v>
      </c>
      <c r="N6" s="10">
        <f>COUNTIFS(Sheet1!$R:$R,$A6,Sheet1!$S:$S,$A$1,Sheet1!$Q:$Q,N$3)</f>
        <v>0</v>
      </c>
      <c r="O6" s="10">
        <f>COUNTIFS(Sheet1!$R:$R,$A6,Sheet1!$S:$S,$A$1,Sheet1!$Q:$Q,O$3)</f>
        <v>0</v>
      </c>
      <c r="P6" s="10">
        <f>COUNTIFS(Sheet1!$R:$R,$A6,Sheet1!$S:$S,$A$1,Sheet1!$Q:$Q,P$3)</f>
        <v>0</v>
      </c>
      <c r="Q6" s="10">
        <f>COUNTIFS(Sheet1!$R:$R,$A6,Sheet1!$S:$S,$A$1,Sheet1!$Q:$Q,Q$3)</f>
        <v>0</v>
      </c>
      <c r="R6" s="10">
        <f>COUNTIFS(Sheet1!$R:$R,$A6,Sheet1!$S:$S,$A$1,Sheet1!$Q:$Q,R$3)</f>
        <v>0</v>
      </c>
      <c r="S6" s="10">
        <f>COUNTIFS(Sheet1!$R:$R,$A6,Sheet1!$S:$S,$A$1,Sheet1!$Q:$Q,S$3)</f>
        <v>0</v>
      </c>
      <c r="T6" s="10">
        <f>COUNTIFS(Sheet1!$R:$R,$A6,Sheet1!$S:$S,$A$1,Sheet1!$Q:$Q,T$3)</f>
        <v>0</v>
      </c>
      <c r="U6" s="10">
        <f>COUNTIFS(Sheet1!$R:$R,$A6,Sheet1!$S:$S,$A$1,Sheet1!$Q:$Q,U$3)</f>
        <v>9</v>
      </c>
      <c r="V6" s="10">
        <f>COUNTIFS(Sheet1!$R:$R,$A6,Sheet1!$S:$S,$A$1,Sheet1!$Q:$Q,V$3)</f>
        <v>0</v>
      </c>
      <c r="W6" s="10">
        <f>COUNTIFS(Sheet1!$R:$R,$A6,Sheet1!$S:$S,$A$1,Sheet1!$Q:$Q,W$3)</f>
        <v>0</v>
      </c>
      <c r="X6" s="10">
        <f>COUNTIFS(Sheet1!$R:$R,$A6,Sheet1!$S:$S,$A$1,Sheet1!$Q:$Q,X$3)</f>
        <v>8</v>
      </c>
      <c r="Y6" s="10">
        <f>COUNTIFS(Sheet1!$R:$R,$A6,Sheet1!$S:$S,$A$1,Sheet1!$Q:$Q,Y$3)</f>
        <v>0</v>
      </c>
      <c r="Z6" s="10">
        <f>COUNTIFS(Sheet1!$R:$R,$A6,Sheet1!$S:$S,$A$1,Sheet1!$Q:$Q,Z$3)</f>
        <v>0</v>
      </c>
      <c r="AA6" s="10">
        <f>COUNTIFS(Sheet1!$R:$R,$A6,Sheet1!$S:$S,$A$1,Sheet1!$Q:$Q,AA$3)</f>
        <v>0</v>
      </c>
      <c r="AB6" s="6"/>
    </row>
    <row r="7" spans="1:28">
      <c r="A7" s="8" t="s">
        <v>200</v>
      </c>
      <c r="B7" s="10">
        <f>COUNTIFS(Sheet1!$R:$R,$A7,Sheet1!$S:$S,$A$1,Sheet1!$Q:$Q,B$3)</f>
        <v>0</v>
      </c>
      <c r="C7" s="10">
        <f>COUNTIFS(Sheet1!$R:$R,$A7,Sheet1!$S:$S,$A$1,Sheet1!$Q:$Q,C$3)</f>
        <v>0</v>
      </c>
      <c r="D7" s="10">
        <f>COUNTIFS(Sheet1!$R:$R,$A7,Sheet1!$S:$S,$A$1,Sheet1!$Q:$Q,D$3)</f>
        <v>0</v>
      </c>
      <c r="E7" s="10">
        <f>COUNTIFS(Sheet1!$R:$R,$A7,Sheet1!$S:$S,$A$1,Sheet1!$Q:$Q,E$3)</f>
        <v>0</v>
      </c>
      <c r="F7" s="10">
        <f>COUNTIFS(Sheet1!$R:$R,$A7,Sheet1!$S:$S,$A$1,Sheet1!$Q:$Q,F$3)</f>
        <v>0</v>
      </c>
      <c r="G7" s="10">
        <f>COUNTIFS(Sheet1!$R:$R,$A7,Sheet1!$S:$S,$A$1,Sheet1!$Q:$Q,G$3)</f>
        <v>0</v>
      </c>
      <c r="H7" s="10">
        <f>COUNTIFS(Sheet1!$R:$R,$A7,Sheet1!$S:$S,$A$1,Sheet1!$Q:$Q,H$3)</f>
        <v>0</v>
      </c>
      <c r="I7" s="10">
        <f>COUNTIFS(Sheet1!$R:$R,$A7,Sheet1!$S:$S,$A$1,Sheet1!$Q:$Q,I$3)</f>
        <v>0</v>
      </c>
      <c r="J7" s="10">
        <f>COUNTIFS(Sheet1!$R:$R,$A7,Sheet1!$S:$S,$A$1,Sheet1!$Q:$Q,J$3)</f>
        <v>0</v>
      </c>
      <c r="K7" s="10">
        <f>COUNTIFS(Sheet1!$R:$R,$A7,Sheet1!$S:$S,$A$1,Sheet1!$Q:$Q,K$3)</f>
        <v>0</v>
      </c>
      <c r="L7" s="10">
        <f>COUNTIFS(Sheet1!$R:$R,$A7,Sheet1!$S:$S,$A$1,Sheet1!$Q:$Q,L$3)</f>
        <v>0</v>
      </c>
      <c r="M7" s="10">
        <f>COUNTIFS(Sheet1!$R:$R,$A7,Sheet1!$S:$S,$A$1,Sheet1!$Q:$Q,M$3)</f>
        <v>0</v>
      </c>
      <c r="N7" s="10">
        <f>COUNTIFS(Sheet1!$R:$R,$A7,Sheet1!$S:$S,$A$1,Sheet1!$Q:$Q,N$3)</f>
        <v>1</v>
      </c>
      <c r="O7" s="10">
        <f>COUNTIFS(Sheet1!$R:$R,$A7,Sheet1!$S:$S,$A$1,Sheet1!$Q:$Q,O$3)</f>
        <v>0</v>
      </c>
      <c r="P7" s="10">
        <f>COUNTIFS(Sheet1!$R:$R,$A7,Sheet1!$S:$S,$A$1,Sheet1!$Q:$Q,P$3)</f>
        <v>0</v>
      </c>
      <c r="Q7" s="10">
        <f>COUNTIFS(Sheet1!$R:$R,$A7,Sheet1!$S:$S,$A$1,Sheet1!$Q:$Q,Q$3)</f>
        <v>0</v>
      </c>
      <c r="R7" s="10">
        <f>COUNTIFS(Sheet1!$R:$R,$A7,Sheet1!$S:$S,$A$1,Sheet1!$Q:$Q,R$3)</f>
        <v>0</v>
      </c>
      <c r="S7" s="10">
        <f>COUNTIFS(Sheet1!$R:$R,$A7,Sheet1!$S:$S,$A$1,Sheet1!$Q:$Q,S$3)</f>
        <v>0</v>
      </c>
      <c r="T7" s="10">
        <f>COUNTIFS(Sheet1!$R:$R,$A7,Sheet1!$S:$S,$A$1,Sheet1!$Q:$Q,T$3)</f>
        <v>0</v>
      </c>
      <c r="U7" s="10">
        <f>COUNTIFS(Sheet1!$R:$R,$A7,Sheet1!$S:$S,$A$1,Sheet1!$Q:$Q,U$3)</f>
        <v>1</v>
      </c>
      <c r="V7" s="10">
        <f>COUNTIFS(Sheet1!$R:$R,$A7,Sheet1!$S:$S,$A$1,Sheet1!$Q:$Q,V$3)</f>
        <v>0</v>
      </c>
      <c r="W7" s="10">
        <f>COUNTIFS(Sheet1!$R:$R,$A7,Sheet1!$S:$S,$A$1,Sheet1!$Q:$Q,W$3)</f>
        <v>0</v>
      </c>
      <c r="X7" s="10">
        <f>COUNTIFS(Sheet1!$R:$R,$A7,Sheet1!$S:$S,$A$1,Sheet1!$Q:$Q,X$3)</f>
        <v>0</v>
      </c>
      <c r="Y7" s="10">
        <f>COUNTIFS(Sheet1!$R:$R,$A7,Sheet1!$S:$S,$A$1,Sheet1!$Q:$Q,Y$3)</f>
        <v>0</v>
      </c>
      <c r="Z7" s="10">
        <f>COUNTIFS(Sheet1!$R:$R,$A7,Sheet1!$S:$S,$A$1,Sheet1!$Q:$Q,Z$3)</f>
        <v>0</v>
      </c>
      <c r="AA7" s="10">
        <f>COUNTIFS(Sheet1!$R:$R,$A7,Sheet1!$S:$S,$A$1,Sheet1!$Q:$Q,AA$3)</f>
        <v>0</v>
      </c>
      <c r="AB7" s="8"/>
    </row>
    <row r="8" spans="1:28">
      <c r="A8" s="8" t="s">
        <v>213</v>
      </c>
      <c r="B8" s="10">
        <f>COUNTIFS(Sheet1!$R:$R,$A8,Sheet1!$S:$S,$A$1,Sheet1!$Q:$Q,B$3)</f>
        <v>0</v>
      </c>
      <c r="C8" s="10">
        <f>COUNTIFS(Sheet1!$R:$R,$A8,Sheet1!$S:$S,$A$1,Sheet1!$Q:$Q,C$3)</f>
        <v>0</v>
      </c>
      <c r="D8" s="10">
        <f>COUNTIFS(Sheet1!$R:$R,$A8,Sheet1!$S:$S,$A$1,Sheet1!$Q:$Q,D$3)</f>
        <v>0</v>
      </c>
      <c r="E8" s="10">
        <f>COUNTIFS(Sheet1!$R:$R,$A8,Sheet1!$S:$S,$A$1,Sheet1!$Q:$Q,E$3)</f>
        <v>0</v>
      </c>
      <c r="F8" s="10">
        <f>COUNTIFS(Sheet1!$R:$R,$A8,Sheet1!$S:$S,$A$1,Sheet1!$Q:$Q,F$3)</f>
        <v>0</v>
      </c>
      <c r="G8" s="10">
        <f>COUNTIFS(Sheet1!$R:$R,$A8,Sheet1!$S:$S,$A$1,Sheet1!$Q:$Q,G$3)</f>
        <v>0</v>
      </c>
      <c r="H8" s="10">
        <f>COUNTIFS(Sheet1!$R:$R,$A8,Sheet1!$S:$S,$A$1,Sheet1!$Q:$Q,H$3)</f>
        <v>0</v>
      </c>
      <c r="I8" s="10">
        <f>COUNTIFS(Sheet1!$R:$R,$A8,Sheet1!$S:$S,$A$1,Sheet1!$Q:$Q,I$3)</f>
        <v>0</v>
      </c>
      <c r="J8" s="10">
        <f>COUNTIFS(Sheet1!$R:$R,$A8,Sheet1!$S:$S,$A$1,Sheet1!$Q:$Q,J$3)</f>
        <v>0</v>
      </c>
      <c r="K8" s="10">
        <f>COUNTIFS(Sheet1!$R:$R,$A8,Sheet1!$S:$S,$A$1,Sheet1!$Q:$Q,K$3)</f>
        <v>0</v>
      </c>
      <c r="L8" s="10">
        <f>COUNTIFS(Sheet1!$R:$R,$A8,Sheet1!$S:$S,$A$1,Sheet1!$Q:$Q,L$3)</f>
        <v>0</v>
      </c>
      <c r="M8" s="10">
        <f>COUNTIFS(Sheet1!$R:$R,$A8,Sheet1!$S:$S,$A$1,Sheet1!$Q:$Q,M$3)</f>
        <v>0</v>
      </c>
      <c r="N8" s="10">
        <f>COUNTIFS(Sheet1!$R:$R,$A8,Sheet1!$S:$S,$A$1,Sheet1!$Q:$Q,N$3)</f>
        <v>1</v>
      </c>
      <c r="O8" s="10">
        <f>COUNTIFS(Sheet1!$R:$R,$A8,Sheet1!$S:$S,$A$1,Sheet1!$Q:$Q,O$3)</f>
        <v>0</v>
      </c>
      <c r="P8" s="10">
        <f>COUNTIFS(Sheet1!$R:$R,$A8,Sheet1!$S:$S,$A$1,Sheet1!$Q:$Q,P$3)</f>
        <v>0</v>
      </c>
      <c r="Q8" s="10">
        <f>COUNTIFS(Sheet1!$R:$R,$A8,Sheet1!$S:$S,$A$1,Sheet1!$Q:$Q,Q$3)</f>
        <v>0</v>
      </c>
      <c r="R8" s="10">
        <f>COUNTIFS(Sheet1!$R:$R,$A8,Sheet1!$S:$S,$A$1,Sheet1!$Q:$Q,R$3)</f>
        <v>0</v>
      </c>
      <c r="S8" s="10">
        <f>COUNTIFS(Sheet1!$R:$R,$A8,Sheet1!$S:$S,$A$1,Sheet1!$Q:$Q,S$3)</f>
        <v>0</v>
      </c>
      <c r="T8" s="10">
        <f>COUNTIFS(Sheet1!$R:$R,$A8,Sheet1!$S:$S,$A$1,Sheet1!$Q:$Q,T$3)</f>
        <v>0</v>
      </c>
      <c r="U8" s="10">
        <f>COUNTIFS(Sheet1!$R:$R,$A8,Sheet1!$S:$S,$A$1,Sheet1!$Q:$Q,U$3)</f>
        <v>1</v>
      </c>
      <c r="V8" s="10">
        <f>COUNTIFS(Sheet1!$R:$R,$A8,Sheet1!$S:$S,$A$1,Sheet1!$Q:$Q,V$3)</f>
        <v>0</v>
      </c>
      <c r="W8" s="10">
        <f>COUNTIFS(Sheet1!$R:$R,$A8,Sheet1!$S:$S,$A$1,Sheet1!$Q:$Q,W$3)</f>
        <v>0</v>
      </c>
      <c r="X8" s="10">
        <f>COUNTIFS(Sheet1!$R:$R,$A8,Sheet1!$S:$S,$A$1,Sheet1!$Q:$Q,X$3)</f>
        <v>0</v>
      </c>
      <c r="Y8" s="10">
        <f>COUNTIFS(Sheet1!$R:$R,$A8,Sheet1!$S:$S,$A$1,Sheet1!$Q:$Q,Y$3)</f>
        <v>0</v>
      </c>
      <c r="Z8" s="10">
        <f>COUNTIFS(Sheet1!$R:$R,$A8,Sheet1!$S:$S,$A$1,Sheet1!$Q:$Q,Z$3)</f>
        <v>0</v>
      </c>
      <c r="AA8" s="10">
        <f>COUNTIFS(Sheet1!$R:$R,$A8,Sheet1!$S:$S,$A$1,Sheet1!$Q:$Q,AA$3)</f>
        <v>0</v>
      </c>
      <c r="AB8" s="8"/>
    </row>
    <row r="9" spans="1:28">
      <c r="A9" s="8" t="s">
        <v>455</v>
      </c>
      <c r="B9" s="10">
        <f>COUNTIFS(Sheet1!$R:$R,$A9,Sheet1!$S:$S,$A$1,Sheet1!$Q:$Q,B$3)</f>
        <v>0</v>
      </c>
      <c r="C9" s="10">
        <f>COUNTIFS(Sheet1!$R:$R,$A9,Sheet1!$S:$S,$A$1,Sheet1!$Q:$Q,C$3)</f>
        <v>0</v>
      </c>
      <c r="D9" s="10">
        <f>COUNTIFS(Sheet1!$R:$R,$A9,Sheet1!$S:$S,$A$1,Sheet1!$Q:$Q,D$3)</f>
        <v>0</v>
      </c>
      <c r="E9" s="10">
        <f>COUNTIFS(Sheet1!$R:$R,$A9,Sheet1!$S:$S,$A$1,Sheet1!$Q:$Q,E$3)</f>
        <v>0</v>
      </c>
      <c r="F9" s="10">
        <f>COUNTIFS(Sheet1!$R:$R,$A9,Sheet1!$S:$S,$A$1,Sheet1!$Q:$Q,F$3)</f>
        <v>0</v>
      </c>
      <c r="G9" s="10">
        <f>COUNTIFS(Sheet1!$R:$R,$A9,Sheet1!$S:$S,$A$1,Sheet1!$Q:$Q,G$3)</f>
        <v>0</v>
      </c>
      <c r="H9" s="10">
        <f>COUNTIFS(Sheet1!$R:$R,$A9,Sheet1!$S:$S,$A$1,Sheet1!$Q:$Q,H$3)</f>
        <v>0</v>
      </c>
      <c r="I9" s="10">
        <f>COUNTIFS(Sheet1!$R:$R,$A9,Sheet1!$S:$S,$A$1,Sheet1!$Q:$Q,I$3)</f>
        <v>0</v>
      </c>
      <c r="J9" s="10">
        <f>COUNTIFS(Sheet1!$R:$R,$A9,Sheet1!$S:$S,$A$1,Sheet1!$Q:$Q,J$3)</f>
        <v>0</v>
      </c>
      <c r="K9" s="10">
        <f>COUNTIFS(Sheet1!$R:$R,$A9,Sheet1!$S:$S,$A$1,Sheet1!$Q:$Q,K$3)</f>
        <v>0</v>
      </c>
      <c r="L9" s="10">
        <f>COUNTIFS(Sheet1!$R:$R,$A9,Sheet1!$S:$S,$A$1,Sheet1!$Q:$Q,L$3)</f>
        <v>0</v>
      </c>
      <c r="M9" s="10">
        <f>COUNTIFS(Sheet1!$R:$R,$A9,Sheet1!$S:$S,$A$1,Sheet1!$Q:$Q,M$3)</f>
        <v>0</v>
      </c>
      <c r="N9" s="10">
        <f>COUNTIFS(Sheet1!$R:$R,$A9,Sheet1!$S:$S,$A$1,Sheet1!$Q:$Q,N$3)</f>
        <v>0</v>
      </c>
      <c r="O9" s="10">
        <f>COUNTIFS(Sheet1!$R:$R,$A9,Sheet1!$S:$S,$A$1,Sheet1!$Q:$Q,O$3)</f>
        <v>0</v>
      </c>
      <c r="P9" s="10">
        <f>COUNTIFS(Sheet1!$R:$R,$A9,Sheet1!$S:$S,$A$1,Sheet1!$Q:$Q,P$3)</f>
        <v>0</v>
      </c>
      <c r="Q9" s="10">
        <f>COUNTIFS(Sheet1!$R:$R,$A9,Sheet1!$S:$S,$A$1,Sheet1!$Q:$Q,Q$3)</f>
        <v>0</v>
      </c>
      <c r="R9" s="10">
        <f>COUNTIFS(Sheet1!$R:$R,$A9,Sheet1!$S:$S,$A$1,Sheet1!$Q:$Q,R$3)</f>
        <v>0</v>
      </c>
      <c r="S9" s="10">
        <f>COUNTIFS(Sheet1!$R:$R,$A9,Sheet1!$S:$S,$A$1,Sheet1!$Q:$Q,S$3)</f>
        <v>0</v>
      </c>
      <c r="T9" s="10">
        <f>COUNTIFS(Sheet1!$R:$R,$A9,Sheet1!$S:$S,$A$1,Sheet1!$Q:$Q,T$3)</f>
        <v>0</v>
      </c>
      <c r="U9" s="10">
        <f>COUNTIFS(Sheet1!$R:$R,$A9,Sheet1!$S:$S,$A$1,Sheet1!$Q:$Q,U$3)</f>
        <v>0</v>
      </c>
      <c r="V9" s="10">
        <f>COUNTIFS(Sheet1!$R:$R,$A9,Sheet1!$S:$S,$A$1,Sheet1!$Q:$Q,V$3)</f>
        <v>0</v>
      </c>
      <c r="W9" s="10">
        <f>COUNTIFS(Sheet1!$R:$R,$A9,Sheet1!$S:$S,$A$1,Sheet1!$Q:$Q,W$3)</f>
        <v>0</v>
      </c>
      <c r="X9" s="10">
        <f>COUNTIFS(Sheet1!$R:$R,$A9,Sheet1!$S:$S,$A$1,Sheet1!$Q:$Q,X$3)</f>
        <v>0</v>
      </c>
      <c r="Y9" s="10">
        <f>COUNTIFS(Sheet1!$R:$R,$A9,Sheet1!$S:$S,$A$1,Sheet1!$Q:$Q,Y$3)</f>
        <v>0</v>
      </c>
      <c r="Z9" s="10">
        <f>COUNTIFS(Sheet1!$R:$R,$A9,Sheet1!$S:$S,$A$1,Sheet1!$Q:$Q,Z$3)</f>
        <v>0</v>
      </c>
      <c r="AA9" s="10">
        <f>COUNTIFS(Sheet1!$R:$R,$A9,Sheet1!$S:$S,$A$1,Sheet1!$Q:$Q,AA$3)</f>
        <v>0</v>
      </c>
      <c r="AB9" s="8"/>
    </row>
    <row r="10" spans="1:28">
      <c r="A10" s="8" t="s">
        <v>249</v>
      </c>
      <c r="B10" s="10">
        <f>COUNTIFS(Sheet1!$R:$R,$A10,Sheet1!$S:$S,$A$1,Sheet1!$Q:$Q,B$3)</f>
        <v>0</v>
      </c>
      <c r="C10" s="10">
        <f>COUNTIFS(Sheet1!$R:$R,$A10,Sheet1!$S:$S,$A$1,Sheet1!$Q:$Q,C$3)</f>
        <v>0</v>
      </c>
      <c r="D10" s="10">
        <f>COUNTIFS(Sheet1!$R:$R,$A10,Sheet1!$S:$S,$A$1,Sheet1!$Q:$Q,D$3)</f>
        <v>0</v>
      </c>
      <c r="E10" s="10">
        <f>COUNTIFS(Sheet1!$R:$R,$A10,Sheet1!$S:$S,$A$1,Sheet1!$Q:$Q,E$3)</f>
        <v>0</v>
      </c>
      <c r="F10" s="10">
        <f>COUNTIFS(Sheet1!$R:$R,$A10,Sheet1!$S:$S,$A$1,Sheet1!$Q:$Q,F$3)</f>
        <v>0</v>
      </c>
      <c r="G10" s="10">
        <f>COUNTIFS(Sheet1!$R:$R,$A10,Sheet1!$S:$S,$A$1,Sheet1!$Q:$Q,G$3)</f>
        <v>0</v>
      </c>
      <c r="H10" s="10">
        <f>COUNTIFS(Sheet1!$R:$R,$A10,Sheet1!$S:$S,$A$1,Sheet1!$Q:$Q,H$3)</f>
        <v>0</v>
      </c>
      <c r="I10" s="10">
        <f>COUNTIFS(Sheet1!$R:$R,$A10,Sheet1!$S:$S,$A$1,Sheet1!$Q:$Q,I$3)</f>
        <v>0</v>
      </c>
      <c r="J10" s="10">
        <f>COUNTIFS(Sheet1!$R:$R,$A10,Sheet1!$S:$S,$A$1,Sheet1!$Q:$Q,J$3)</f>
        <v>0</v>
      </c>
      <c r="K10" s="10">
        <f>COUNTIFS(Sheet1!$R:$R,$A10,Sheet1!$S:$S,$A$1,Sheet1!$Q:$Q,K$3)</f>
        <v>0</v>
      </c>
      <c r="L10" s="10">
        <f>COUNTIFS(Sheet1!$R:$R,$A10,Sheet1!$S:$S,$A$1,Sheet1!$Q:$Q,L$3)</f>
        <v>0</v>
      </c>
      <c r="M10" s="10">
        <f>COUNTIFS(Sheet1!$R:$R,$A10,Sheet1!$S:$S,$A$1,Sheet1!$Q:$Q,M$3)</f>
        <v>0</v>
      </c>
      <c r="N10" s="10">
        <f>COUNTIFS(Sheet1!$R:$R,$A10,Sheet1!$S:$S,$A$1,Sheet1!$Q:$Q,N$3)</f>
        <v>2</v>
      </c>
      <c r="O10" s="10">
        <f>COUNTIFS(Sheet1!$R:$R,$A10,Sheet1!$S:$S,$A$1,Sheet1!$Q:$Q,O$3)</f>
        <v>0</v>
      </c>
      <c r="P10" s="10">
        <f>COUNTIFS(Sheet1!$R:$R,$A10,Sheet1!$S:$S,$A$1,Sheet1!$Q:$Q,P$3)</f>
        <v>0</v>
      </c>
      <c r="Q10" s="10">
        <f>COUNTIFS(Sheet1!$R:$R,$A10,Sheet1!$S:$S,$A$1,Sheet1!$Q:$Q,Q$3)</f>
        <v>0</v>
      </c>
      <c r="R10" s="10">
        <f>COUNTIFS(Sheet1!$R:$R,$A10,Sheet1!$S:$S,$A$1,Sheet1!$Q:$Q,R$3)</f>
        <v>0</v>
      </c>
      <c r="S10" s="10">
        <f>COUNTIFS(Sheet1!$R:$R,$A10,Sheet1!$S:$S,$A$1,Sheet1!$Q:$Q,S$3)</f>
        <v>1</v>
      </c>
      <c r="T10" s="10">
        <f>COUNTIFS(Sheet1!$R:$R,$A10,Sheet1!$S:$S,$A$1,Sheet1!$Q:$Q,T$3)</f>
        <v>0</v>
      </c>
      <c r="U10" s="10">
        <f>COUNTIFS(Sheet1!$R:$R,$A10,Sheet1!$S:$S,$A$1,Sheet1!$Q:$Q,U$3)</f>
        <v>0</v>
      </c>
      <c r="V10" s="10">
        <f>COUNTIFS(Sheet1!$R:$R,$A10,Sheet1!$S:$S,$A$1,Sheet1!$Q:$Q,V$3)</f>
        <v>0</v>
      </c>
      <c r="W10" s="10">
        <f>COUNTIFS(Sheet1!$R:$R,$A10,Sheet1!$S:$S,$A$1,Sheet1!$Q:$Q,W$3)</f>
        <v>0</v>
      </c>
      <c r="X10" s="10">
        <f>COUNTIFS(Sheet1!$R:$R,$A10,Sheet1!$S:$S,$A$1,Sheet1!$Q:$Q,X$3)</f>
        <v>1</v>
      </c>
      <c r="Y10" s="10">
        <f>COUNTIFS(Sheet1!$R:$R,$A10,Sheet1!$S:$S,$A$1,Sheet1!$Q:$Q,Y$3)</f>
        <v>0</v>
      </c>
      <c r="Z10" s="10">
        <f>COUNTIFS(Sheet1!$R:$R,$A10,Sheet1!$S:$S,$A$1,Sheet1!$Q:$Q,Z$3)</f>
        <v>0</v>
      </c>
      <c r="AA10" s="10">
        <f>COUNTIFS(Sheet1!$R:$R,$A10,Sheet1!$S:$S,$A$1,Sheet1!$Q:$Q,AA$3)</f>
        <v>0</v>
      </c>
      <c r="AB10" s="8"/>
    </row>
    <row r="11" spans="1:28">
      <c r="A11" s="8" t="s">
        <v>373</v>
      </c>
      <c r="B11" s="10">
        <f>COUNTIFS(Sheet1!$R:$R,$A11,Sheet1!$S:$S,$A$1,Sheet1!$Q:$Q,B$3)</f>
        <v>0</v>
      </c>
      <c r="C11" s="10">
        <f>COUNTIFS(Sheet1!$R:$R,$A11,Sheet1!$S:$S,$A$1,Sheet1!$Q:$Q,C$3)</f>
        <v>0</v>
      </c>
      <c r="D11" s="10">
        <f>COUNTIFS(Sheet1!$R:$R,$A11,Sheet1!$S:$S,$A$1,Sheet1!$Q:$Q,D$3)</f>
        <v>0</v>
      </c>
      <c r="E11" s="10">
        <f>COUNTIFS(Sheet1!$R:$R,$A11,Sheet1!$S:$S,$A$1,Sheet1!$Q:$Q,E$3)</f>
        <v>0</v>
      </c>
      <c r="F11" s="10">
        <f>COUNTIFS(Sheet1!$R:$R,$A11,Sheet1!$S:$S,$A$1,Sheet1!$Q:$Q,F$3)</f>
        <v>0</v>
      </c>
      <c r="G11" s="10">
        <f>COUNTIFS(Sheet1!$R:$R,$A11,Sheet1!$S:$S,$A$1,Sheet1!$Q:$Q,G$3)</f>
        <v>0</v>
      </c>
      <c r="H11" s="10">
        <f>COUNTIFS(Sheet1!$R:$R,$A11,Sheet1!$S:$S,$A$1,Sheet1!$Q:$Q,H$3)</f>
        <v>0</v>
      </c>
      <c r="I11" s="10">
        <f>COUNTIFS(Sheet1!$R:$R,$A11,Sheet1!$S:$S,$A$1,Sheet1!$Q:$Q,I$3)</f>
        <v>0</v>
      </c>
      <c r="J11" s="10">
        <f>COUNTIFS(Sheet1!$R:$R,$A11,Sheet1!$S:$S,$A$1,Sheet1!$Q:$Q,J$3)</f>
        <v>0</v>
      </c>
      <c r="K11" s="10">
        <f>COUNTIFS(Sheet1!$R:$R,$A11,Sheet1!$S:$S,$A$1,Sheet1!$Q:$Q,K$3)</f>
        <v>0</v>
      </c>
      <c r="L11" s="10">
        <f>COUNTIFS(Sheet1!$R:$R,$A11,Sheet1!$S:$S,$A$1,Sheet1!$Q:$Q,L$3)</f>
        <v>0</v>
      </c>
      <c r="M11" s="10">
        <f>COUNTIFS(Sheet1!$R:$R,$A11,Sheet1!$S:$S,$A$1,Sheet1!$Q:$Q,M$3)</f>
        <v>0</v>
      </c>
      <c r="N11" s="10">
        <f>COUNTIFS(Sheet1!$R:$R,$A11,Sheet1!$S:$S,$A$1,Sheet1!$Q:$Q,N$3)</f>
        <v>0</v>
      </c>
      <c r="O11" s="10">
        <f>COUNTIFS(Sheet1!$R:$R,$A11,Sheet1!$S:$S,$A$1,Sheet1!$Q:$Q,O$3)</f>
        <v>0</v>
      </c>
      <c r="P11" s="10">
        <f>COUNTIFS(Sheet1!$R:$R,$A11,Sheet1!$S:$S,$A$1,Sheet1!$Q:$Q,P$3)</f>
        <v>0</v>
      </c>
      <c r="Q11" s="10">
        <f>COUNTIFS(Sheet1!$R:$R,$A11,Sheet1!$S:$S,$A$1,Sheet1!$Q:$Q,Q$3)</f>
        <v>0</v>
      </c>
      <c r="R11" s="10">
        <f>COUNTIFS(Sheet1!$R:$R,$A11,Sheet1!$S:$S,$A$1,Sheet1!$Q:$Q,R$3)</f>
        <v>0</v>
      </c>
      <c r="S11" s="10">
        <f>COUNTIFS(Sheet1!$R:$R,$A11,Sheet1!$S:$S,$A$1,Sheet1!$Q:$Q,S$3)</f>
        <v>1</v>
      </c>
      <c r="T11" s="10">
        <f>COUNTIFS(Sheet1!$R:$R,$A11,Sheet1!$S:$S,$A$1,Sheet1!$Q:$Q,T$3)</f>
        <v>0</v>
      </c>
      <c r="U11" s="10">
        <f>COUNTIFS(Sheet1!$R:$R,$A11,Sheet1!$S:$S,$A$1,Sheet1!$Q:$Q,U$3)</f>
        <v>0</v>
      </c>
      <c r="V11" s="10">
        <f>COUNTIFS(Sheet1!$R:$R,$A11,Sheet1!$S:$S,$A$1,Sheet1!$Q:$Q,V$3)</f>
        <v>0</v>
      </c>
      <c r="W11" s="10">
        <f>COUNTIFS(Sheet1!$R:$R,$A11,Sheet1!$S:$S,$A$1,Sheet1!$Q:$Q,W$3)</f>
        <v>0</v>
      </c>
      <c r="X11" s="10">
        <f>COUNTIFS(Sheet1!$R:$R,$A11,Sheet1!$S:$S,$A$1,Sheet1!$Q:$Q,X$3)</f>
        <v>0</v>
      </c>
      <c r="Y11" s="10">
        <f>COUNTIFS(Sheet1!$R:$R,$A11,Sheet1!$S:$S,$A$1,Sheet1!$Q:$Q,Y$3)</f>
        <v>0</v>
      </c>
      <c r="Z11" s="10">
        <f>COUNTIFS(Sheet1!$R:$R,$A11,Sheet1!$S:$S,$A$1,Sheet1!$Q:$Q,Z$3)</f>
        <v>0</v>
      </c>
      <c r="AA11" s="10">
        <f>COUNTIFS(Sheet1!$R:$R,$A11,Sheet1!$S:$S,$A$1,Sheet1!$Q:$Q,AA$3)</f>
        <v>0</v>
      </c>
      <c r="AB11" s="8"/>
    </row>
    <row r="12" spans="1:28">
      <c r="A12" s="8" t="s">
        <v>187</v>
      </c>
      <c r="B12" s="10">
        <f>COUNTIFS(Sheet1!$R:$R,$A12,Sheet1!$S:$S,$A$1,Sheet1!$Q:$Q,B$3)</f>
        <v>0</v>
      </c>
      <c r="C12" s="10">
        <f>COUNTIFS(Sheet1!$R:$R,$A12,Sheet1!$S:$S,$A$1,Sheet1!$Q:$Q,C$3)</f>
        <v>0</v>
      </c>
      <c r="D12" s="10">
        <f>COUNTIFS(Sheet1!$R:$R,$A12,Sheet1!$S:$S,$A$1,Sheet1!$Q:$Q,D$3)</f>
        <v>0</v>
      </c>
      <c r="E12" s="10">
        <f>COUNTIFS(Sheet1!$R:$R,$A12,Sheet1!$S:$S,$A$1,Sheet1!$Q:$Q,E$3)</f>
        <v>0</v>
      </c>
      <c r="F12" s="10">
        <f>COUNTIFS(Sheet1!$R:$R,$A12,Sheet1!$S:$S,$A$1,Sheet1!$Q:$Q,F$3)</f>
        <v>0</v>
      </c>
      <c r="G12" s="10">
        <f>COUNTIFS(Sheet1!$R:$R,$A12,Sheet1!$S:$S,$A$1,Sheet1!$Q:$Q,G$3)</f>
        <v>0</v>
      </c>
      <c r="H12" s="10">
        <f>COUNTIFS(Sheet1!$R:$R,$A12,Sheet1!$S:$S,$A$1,Sheet1!$Q:$Q,H$3)</f>
        <v>0</v>
      </c>
      <c r="I12" s="10">
        <f>COUNTIFS(Sheet1!$R:$R,$A12,Sheet1!$S:$S,$A$1,Sheet1!$Q:$Q,I$3)</f>
        <v>0</v>
      </c>
      <c r="J12" s="10">
        <f>COUNTIFS(Sheet1!$R:$R,$A12,Sheet1!$S:$S,$A$1,Sheet1!$Q:$Q,J$3)</f>
        <v>0</v>
      </c>
      <c r="K12" s="10">
        <f>COUNTIFS(Sheet1!$R:$R,$A12,Sheet1!$S:$S,$A$1,Sheet1!$Q:$Q,K$3)</f>
        <v>0</v>
      </c>
      <c r="L12" s="10">
        <f>COUNTIFS(Sheet1!$R:$R,$A12,Sheet1!$S:$S,$A$1,Sheet1!$Q:$Q,L$3)</f>
        <v>0</v>
      </c>
      <c r="M12" s="10">
        <f>COUNTIFS(Sheet1!$R:$R,$A12,Sheet1!$S:$S,$A$1,Sheet1!$Q:$Q,M$3)</f>
        <v>0</v>
      </c>
      <c r="N12" s="10">
        <f>COUNTIFS(Sheet1!$R:$R,$A12,Sheet1!$S:$S,$A$1,Sheet1!$Q:$Q,N$3)</f>
        <v>3</v>
      </c>
      <c r="O12" s="10">
        <f>COUNTIFS(Sheet1!$R:$R,$A12,Sheet1!$S:$S,$A$1,Sheet1!$Q:$Q,O$3)</f>
        <v>0</v>
      </c>
      <c r="P12" s="10">
        <f>COUNTIFS(Sheet1!$R:$R,$A12,Sheet1!$S:$S,$A$1,Sheet1!$Q:$Q,P$3)</f>
        <v>0</v>
      </c>
      <c r="Q12" s="10">
        <f>COUNTIFS(Sheet1!$R:$R,$A12,Sheet1!$S:$S,$A$1,Sheet1!$Q:$Q,Q$3)</f>
        <v>0</v>
      </c>
      <c r="R12" s="10">
        <f>COUNTIFS(Sheet1!$R:$R,$A12,Sheet1!$S:$S,$A$1,Sheet1!$Q:$Q,R$3)</f>
        <v>0</v>
      </c>
      <c r="S12" s="10">
        <f>COUNTIFS(Sheet1!$R:$R,$A12,Sheet1!$S:$S,$A$1,Sheet1!$Q:$Q,S$3)</f>
        <v>3</v>
      </c>
      <c r="T12" s="10">
        <f>COUNTIFS(Sheet1!$R:$R,$A12,Sheet1!$S:$S,$A$1,Sheet1!$Q:$Q,T$3)</f>
        <v>0</v>
      </c>
      <c r="U12" s="10">
        <f>COUNTIFS(Sheet1!$R:$R,$A12,Sheet1!$S:$S,$A$1,Sheet1!$Q:$Q,U$3)</f>
        <v>0</v>
      </c>
      <c r="V12" s="10">
        <f>COUNTIFS(Sheet1!$R:$R,$A12,Sheet1!$S:$S,$A$1,Sheet1!$Q:$Q,V$3)</f>
        <v>0</v>
      </c>
      <c r="W12" s="10">
        <f>COUNTIFS(Sheet1!$R:$R,$A12,Sheet1!$S:$S,$A$1,Sheet1!$Q:$Q,W$3)</f>
        <v>0</v>
      </c>
      <c r="X12" s="10">
        <f>COUNTIFS(Sheet1!$R:$R,$A12,Sheet1!$S:$S,$A$1,Sheet1!$Q:$Q,X$3)</f>
        <v>2</v>
      </c>
      <c r="Y12" s="10">
        <f>COUNTIFS(Sheet1!$R:$R,$A12,Sheet1!$S:$S,$A$1,Sheet1!$Q:$Q,Y$3)</f>
        <v>0</v>
      </c>
      <c r="Z12" s="10">
        <f>COUNTIFS(Sheet1!$R:$R,$A12,Sheet1!$S:$S,$A$1,Sheet1!$Q:$Q,Z$3)</f>
        <v>0</v>
      </c>
      <c r="AA12" s="10">
        <f>COUNTIFS(Sheet1!$R:$R,$A12,Sheet1!$S:$S,$A$1,Sheet1!$Q:$Q,AA$3)</f>
        <v>0</v>
      </c>
      <c r="AB12" s="8"/>
    </row>
    <row r="13" spans="1:28">
      <c r="A13" s="8" t="s">
        <v>456</v>
      </c>
      <c r="B13" s="10">
        <f>COUNTIFS(Sheet1!$R:$R,$A13,Sheet1!$S:$S,$A$1,Sheet1!$Q:$Q,B$3)</f>
        <v>0</v>
      </c>
      <c r="C13" s="10">
        <f>COUNTIFS(Sheet1!$R:$R,$A13,Sheet1!$S:$S,$A$1,Sheet1!$Q:$Q,C$3)</f>
        <v>0</v>
      </c>
      <c r="D13" s="10">
        <f>COUNTIFS(Sheet1!$R:$R,$A13,Sheet1!$S:$S,$A$1,Sheet1!$Q:$Q,D$3)</f>
        <v>0</v>
      </c>
      <c r="E13" s="10">
        <f>COUNTIFS(Sheet1!$R:$R,$A13,Sheet1!$S:$S,$A$1,Sheet1!$Q:$Q,E$3)</f>
        <v>0</v>
      </c>
      <c r="F13" s="10">
        <f>COUNTIFS(Sheet1!$R:$R,$A13,Sheet1!$S:$S,$A$1,Sheet1!$Q:$Q,F$3)</f>
        <v>0</v>
      </c>
      <c r="G13" s="10">
        <f>COUNTIFS(Sheet1!$R:$R,$A13,Sheet1!$S:$S,$A$1,Sheet1!$Q:$Q,G$3)</f>
        <v>0</v>
      </c>
      <c r="H13" s="10">
        <f>COUNTIFS(Sheet1!$R:$R,$A13,Sheet1!$S:$S,$A$1,Sheet1!$Q:$Q,H$3)</f>
        <v>0</v>
      </c>
      <c r="I13" s="10">
        <f>COUNTIFS(Sheet1!$R:$R,$A13,Sheet1!$S:$S,$A$1,Sheet1!$Q:$Q,I$3)</f>
        <v>0</v>
      </c>
      <c r="J13" s="10">
        <f>COUNTIFS(Sheet1!$R:$R,$A13,Sheet1!$S:$S,$A$1,Sheet1!$Q:$Q,J$3)</f>
        <v>0</v>
      </c>
      <c r="K13" s="10">
        <f>COUNTIFS(Sheet1!$R:$R,$A13,Sheet1!$S:$S,$A$1,Sheet1!$Q:$Q,K$3)</f>
        <v>0</v>
      </c>
      <c r="L13" s="10">
        <f>COUNTIFS(Sheet1!$R:$R,$A13,Sheet1!$S:$S,$A$1,Sheet1!$Q:$Q,L$3)</f>
        <v>0</v>
      </c>
      <c r="M13" s="10">
        <f>COUNTIFS(Sheet1!$R:$R,$A13,Sheet1!$S:$S,$A$1,Sheet1!$Q:$Q,M$3)</f>
        <v>0</v>
      </c>
      <c r="N13" s="10">
        <f>COUNTIFS(Sheet1!$R:$R,$A13,Sheet1!$S:$S,$A$1,Sheet1!$Q:$Q,N$3)</f>
        <v>0</v>
      </c>
      <c r="O13" s="10">
        <f>COUNTIFS(Sheet1!$R:$R,$A13,Sheet1!$S:$S,$A$1,Sheet1!$Q:$Q,O$3)</f>
        <v>0</v>
      </c>
      <c r="P13" s="10">
        <f>COUNTIFS(Sheet1!$R:$R,$A13,Sheet1!$S:$S,$A$1,Sheet1!$Q:$Q,P$3)</f>
        <v>0</v>
      </c>
      <c r="Q13" s="10">
        <f>COUNTIFS(Sheet1!$R:$R,$A13,Sheet1!$S:$S,$A$1,Sheet1!$Q:$Q,Q$3)</f>
        <v>0</v>
      </c>
      <c r="R13" s="10">
        <f>COUNTIFS(Sheet1!$R:$R,$A13,Sheet1!$S:$S,$A$1,Sheet1!$Q:$Q,R$3)</f>
        <v>0</v>
      </c>
      <c r="S13" s="10">
        <f>COUNTIFS(Sheet1!$R:$R,$A13,Sheet1!$S:$S,$A$1,Sheet1!$Q:$Q,S$3)</f>
        <v>0</v>
      </c>
      <c r="T13" s="10">
        <f>COUNTIFS(Sheet1!$R:$R,$A13,Sheet1!$S:$S,$A$1,Sheet1!$Q:$Q,T$3)</f>
        <v>0</v>
      </c>
      <c r="U13" s="10">
        <f>COUNTIFS(Sheet1!$R:$R,$A13,Sheet1!$S:$S,$A$1,Sheet1!$Q:$Q,U$3)</f>
        <v>0</v>
      </c>
      <c r="V13" s="10">
        <f>COUNTIFS(Sheet1!$R:$R,$A13,Sheet1!$S:$S,$A$1,Sheet1!$Q:$Q,V$3)</f>
        <v>0</v>
      </c>
      <c r="W13" s="10">
        <f>COUNTIFS(Sheet1!$R:$R,$A13,Sheet1!$S:$S,$A$1,Sheet1!$Q:$Q,W$3)</f>
        <v>0</v>
      </c>
      <c r="X13" s="10">
        <f>COUNTIFS(Sheet1!$R:$R,$A13,Sheet1!$S:$S,$A$1,Sheet1!$Q:$Q,X$3)</f>
        <v>0</v>
      </c>
      <c r="Y13" s="10">
        <f>COUNTIFS(Sheet1!$R:$R,$A13,Sheet1!$S:$S,$A$1,Sheet1!$Q:$Q,Y$3)</f>
        <v>0</v>
      </c>
      <c r="Z13" s="10">
        <f>COUNTIFS(Sheet1!$R:$R,$A13,Sheet1!$S:$S,$A$1,Sheet1!$Q:$Q,Z$3)</f>
        <v>0</v>
      </c>
      <c r="AA13" s="10">
        <f>COUNTIFS(Sheet1!$R:$R,$A13,Sheet1!$S:$S,$A$1,Sheet1!$Q:$Q,AA$3)</f>
        <v>0</v>
      </c>
      <c r="AB13" s="8"/>
    </row>
    <row r="14" spans="1:28">
      <c r="A14" s="8" t="s">
        <v>457</v>
      </c>
      <c r="B14" s="10">
        <f>COUNTIFS(Sheet1!$R:$R,$A14,Sheet1!$S:$S,$A$1,Sheet1!$Q:$Q,B$3)</f>
        <v>0</v>
      </c>
      <c r="C14" s="10">
        <f>COUNTIFS(Sheet1!$R:$R,$A14,Sheet1!$S:$S,$A$1,Sheet1!$Q:$Q,C$3)</f>
        <v>0</v>
      </c>
      <c r="D14" s="10">
        <f>COUNTIFS(Sheet1!$R:$R,$A14,Sheet1!$S:$S,$A$1,Sheet1!$Q:$Q,D$3)</f>
        <v>0</v>
      </c>
      <c r="E14" s="10">
        <f>COUNTIFS(Sheet1!$R:$R,$A14,Sheet1!$S:$S,$A$1,Sheet1!$Q:$Q,E$3)</f>
        <v>0</v>
      </c>
      <c r="F14" s="10">
        <f>COUNTIFS(Sheet1!$R:$R,$A14,Sheet1!$S:$S,$A$1,Sheet1!$Q:$Q,F$3)</f>
        <v>0</v>
      </c>
      <c r="G14" s="10">
        <f>COUNTIFS(Sheet1!$R:$R,$A14,Sheet1!$S:$S,$A$1,Sheet1!$Q:$Q,G$3)</f>
        <v>0</v>
      </c>
      <c r="H14" s="10">
        <f>COUNTIFS(Sheet1!$R:$R,$A14,Sheet1!$S:$S,$A$1,Sheet1!$Q:$Q,H$3)</f>
        <v>0</v>
      </c>
      <c r="I14" s="10">
        <f>COUNTIFS(Sheet1!$R:$R,$A14,Sheet1!$S:$S,$A$1,Sheet1!$Q:$Q,I$3)</f>
        <v>0</v>
      </c>
      <c r="J14" s="10">
        <f>COUNTIFS(Sheet1!$R:$R,$A14,Sheet1!$S:$S,$A$1,Sheet1!$Q:$Q,J$3)</f>
        <v>0</v>
      </c>
      <c r="K14" s="10">
        <f>COUNTIFS(Sheet1!$R:$R,$A14,Sheet1!$S:$S,$A$1,Sheet1!$Q:$Q,K$3)</f>
        <v>0</v>
      </c>
      <c r="L14" s="10">
        <f>COUNTIFS(Sheet1!$R:$R,$A14,Sheet1!$S:$S,$A$1,Sheet1!$Q:$Q,L$3)</f>
        <v>0</v>
      </c>
      <c r="M14" s="10">
        <f>COUNTIFS(Sheet1!$R:$R,$A14,Sheet1!$S:$S,$A$1,Sheet1!$Q:$Q,M$3)</f>
        <v>0</v>
      </c>
      <c r="N14" s="10">
        <f>COUNTIFS(Sheet1!$R:$R,$A14,Sheet1!$S:$S,$A$1,Sheet1!$Q:$Q,N$3)</f>
        <v>0</v>
      </c>
      <c r="O14" s="10">
        <f>COUNTIFS(Sheet1!$R:$R,$A14,Sheet1!$S:$S,$A$1,Sheet1!$Q:$Q,O$3)</f>
        <v>0</v>
      </c>
      <c r="P14" s="10">
        <f>COUNTIFS(Sheet1!$R:$R,$A14,Sheet1!$S:$S,$A$1,Sheet1!$Q:$Q,P$3)</f>
        <v>0</v>
      </c>
      <c r="Q14" s="10">
        <f>COUNTIFS(Sheet1!$R:$R,$A14,Sheet1!$S:$S,$A$1,Sheet1!$Q:$Q,Q$3)</f>
        <v>0</v>
      </c>
      <c r="R14" s="10">
        <f>COUNTIFS(Sheet1!$R:$R,$A14,Sheet1!$S:$S,$A$1,Sheet1!$Q:$Q,R$3)</f>
        <v>0</v>
      </c>
      <c r="S14" s="10">
        <f>COUNTIFS(Sheet1!$R:$R,$A14,Sheet1!$S:$S,$A$1,Sheet1!$Q:$Q,S$3)</f>
        <v>0</v>
      </c>
      <c r="T14" s="10">
        <f>COUNTIFS(Sheet1!$R:$R,$A14,Sheet1!$S:$S,$A$1,Sheet1!$Q:$Q,T$3)</f>
        <v>0</v>
      </c>
      <c r="U14" s="10">
        <f>COUNTIFS(Sheet1!$R:$R,$A14,Sheet1!$S:$S,$A$1,Sheet1!$Q:$Q,U$3)</f>
        <v>0</v>
      </c>
      <c r="V14" s="10">
        <f>COUNTIFS(Sheet1!$R:$R,$A14,Sheet1!$S:$S,$A$1,Sheet1!$Q:$Q,V$3)</f>
        <v>0</v>
      </c>
      <c r="W14" s="10">
        <f>COUNTIFS(Sheet1!$R:$R,$A14,Sheet1!$S:$S,$A$1,Sheet1!$Q:$Q,W$3)</f>
        <v>0</v>
      </c>
      <c r="X14" s="10">
        <f>COUNTIFS(Sheet1!$R:$R,$A14,Sheet1!$S:$S,$A$1,Sheet1!$Q:$Q,X$3)</f>
        <v>0</v>
      </c>
      <c r="Y14" s="10">
        <f>COUNTIFS(Sheet1!$R:$R,$A14,Sheet1!$S:$S,$A$1,Sheet1!$Q:$Q,Y$3)</f>
        <v>0</v>
      </c>
      <c r="Z14" s="10">
        <f>COUNTIFS(Sheet1!$R:$R,$A14,Sheet1!$S:$S,$A$1,Sheet1!$Q:$Q,Z$3)</f>
        <v>0</v>
      </c>
      <c r="AA14" s="10">
        <f>COUNTIFS(Sheet1!$R:$R,$A14,Sheet1!$S:$S,$A$1,Sheet1!$Q:$Q,AA$3)</f>
        <v>0</v>
      </c>
      <c r="AB14" s="8"/>
    </row>
    <row r="15" spans="1:28">
      <c r="A15" s="11" t="s">
        <v>126</v>
      </c>
      <c r="B15" s="10">
        <f>COUNTIFS(Sheet1!$R:$R,$A15,Sheet1!$S:$S,$A$1,Sheet1!$Q:$Q,B$3)</f>
        <v>0</v>
      </c>
      <c r="C15" s="10">
        <f>COUNTIFS(Sheet1!$R:$R,$A15,Sheet1!$S:$S,$A$1,Sheet1!$Q:$Q,C$3)</f>
        <v>0</v>
      </c>
      <c r="D15" s="10">
        <f>COUNTIFS(Sheet1!$R:$R,$A15,Sheet1!$S:$S,$A$1,Sheet1!$Q:$Q,D$3)</f>
        <v>0</v>
      </c>
      <c r="E15" s="10">
        <f>COUNTIFS(Sheet1!$R:$R,$A15,Sheet1!$S:$S,$A$1,Sheet1!$Q:$Q,E$3)</f>
        <v>0</v>
      </c>
      <c r="F15" s="10">
        <f>COUNTIFS(Sheet1!$R:$R,$A15,Sheet1!$S:$S,$A$1,Sheet1!$Q:$Q,F$3)</f>
        <v>0</v>
      </c>
      <c r="G15" s="10">
        <f>COUNTIFS(Sheet1!$R:$R,$A15,Sheet1!$S:$S,$A$1,Sheet1!$Q:$Q,G$3)</f>
        <v>0</v>
      </c>
      <c r="H15" s="10">
        <f>COUNTIFS(Sheet1!$R:$R,$A15,Sheet1!$S:$S,$A$1,Sheet1!$Q:$Q,H$3)</f>
        <v>0</v>
      </c>
      <c r="I15" s="10">
        <f>COUNTIFS(Sheet1!$R:$R,$A15,Sheet1!$S:$S,$A$1,Sheet1!$Q:$Q,I$3)</f>
        <v>0</v>
      </c>
      <c r="J15" s="10">
        <f>COUNTIFS(Sheet1!$R:$R,$A15,Sheet1!$S:$S,$A$1,Sheet1!$Q:$Q,J$3)</f>
        <v>0</v>
      </c>
      <c r="K15" s="10">
        <f>COUNTIFS(Sheet1!$R:$R,$A15,Sheet1!$S:$S,$A$1,Sheet1!$Q:$Q,K$3)</f>
        <v>0</v>
      </c>
      <c r="L15" s="10">
        <f>COUNTIFS(Sheet1!$R:$R,$A15,Sheet1!$S:$S,$A$1,Sheet1!$Q:$Q,L$3)</f>
        <v>4</v>
      </c>
      <c r="M15" s="10">
        <f>COUNTIFS(Sheet1!$R:$R,$A15,Sheet1!$S:$S,$A$1,Sheet1!$Q:$Q,M$3)</f>
        <v>0</v>
      </c>
      <c r="N15" s="10">
        <f>COUNTIFS(Sheet1!$R:$R,$A15,Sheet1!$S:$S,$A$1,Sheet1!$Q:$Q,N$3)</f>
        <v>0</v>
      </c>
      <c r="O15" s="10">
        <f>COUNTIFS(Sheet1!$R:$R,$A15,Sheet1!$S:$S,$A$1,Sheet1!$Q:$Q,O$3)</f>
        <v>0</v>
      </c>
      <c r="P15" s="10">
        <f>COUNTIFS(Sheet1!$R:$R,$A15,Sheet1!$S:$S,$A$1,Sheet1!$Q:$Q,P$3)</f>
        <v>0</v>
      </c>
      <c r="Q15" s="10">
        <f>COUNTIFS(Sheet1!$R:$R,$A15,Sheet1!$S:$S,$A$1,Sheet1!$Q:$Q,Q$3)</f>
        <v>0</v>
      </c>
      <c r="R15" s="10">
        <f>COUNTIFS(Sheet1!$R:$R,$A15,Sheet1!$S:$S,$A$1,Sheet1!$Q:$Q,R$3)</f>
        <v>0</v>
      </c>
      <c r="S15" s="10">
        <f>COUNTIFS(Sheet1!$R:$R,$A15,Sheet1!$S:$S,$A$1,Sheet1!$Q:$Q,S$3)</f>
        <v>0</v>
      </c>
      <c r="T15" s="10">
        <f>COUNTIFS(Sheet1!$R:$R,$A15,Sheet1!$S:$S,$A$1,Sheet1!$Q:$Q,T$3)</f>
        <v>0</v>
      </c>
      <c r="U15" s="10">
        <f>COUNTIFS(Sheet1!$R:$R,$A15,Sheet1!$S:$S,$A$1,Sheet1!$Q:$Q,U$3)</f>
        <v>4</v>
      </c>
      <c r="V15" s="10">
        <f>COUNTIFS(Sheet1!$R:$R,$A15,Sheet1!$S:$S,$A$1,Sheet1!$Q:$Q,V$3)</f>
        <v>0</v>
      </c>
      <c r="W15" s="10">
        <f>COUNTIFS(Sheet1!$R:$R,$A15,Sheet1!$S:$S,$A$1,Sheet1!$Q:$Q,W$3)</f>
        <v>0</v>
      </c>
      <c r="X15" s="10">
        <f>COUNTIFS(Sheet1!$R:$R,$A15,Sheet1!$S:$S,$A$1,Sheet1!$Q:$Q,X$3)</f>
        <v>4</v>
      </c>
      <c r="Y15" s="10">
        <f>COUNTIFS(Sheet1!$R:$R,$A15,Sheet1!$S:$S,$A$1,Sheet1!$Q:$Q,Y$3)</f>
        <v>0</v>
      </c>
      <c r="Z15" s="10">
        <f>COUNTIFS(Sheet1!$R:$R,$A15,Sheet1!$S:$S,$A$1,Sheet1!$Q:$Q,Z$3)</f>
        <v>0</v>
      </c>
      <c r="AA15" s="10">
        <f>COUNTIFS(Sheet1!$R:$R,$A15,Sheet1!$S:$S,$A$1,Sheet1!$Q:$Q,AA$3)</f>
        <v>0</v>
      </c>
      <c r="AB15" s="8"/>
    </row>
    <row r="16" spans="1:28">
      <c r="A16" s="8" t="s">
        <v>90</v>
      </c>
      <c r="B16" s="10">
        <f>COUNTIFS(Sheet1!$R:$R,$A16,Sheet1!$S:$S,$A$1,Sheet1!$Q:$Q,B$3)</f>
        <v>0</v>
      </c>
      <c r="C16" s="10">
        <f>COUNTIFS(Sheet1!$R:$R,$A16,Sheet1!$S:$S,$A$1,Sheet1!$Q:$Q,C$3)</f>
        <v>0</v>
      </c>
      <c r="D16" s="10">
        <f>COUNTIFS(Sheet1!$R:$R,$A16,Sheet1!$S:$S,$A$1,Sheet1!$Q:$Q,D$3)</f>
        <v>0</v>
      </c>
      <c r="E16" s="10">
        <f>COUNTIFS(Sheet1!$R:$R,$A16,Sheet1!$S:$S,$A$1,Sheet1!$Q:$Q,E$3)</f>
        <v>0</v>
      </c>
      <c r="F16" s="10">
        <f>COUNTIFS(Sheet1!$R:$R,$A16,Sheet1!$S:$S,$A$1,Sheet1!$Q:$Q,F$3)</f>
        <v>0</v>
      </c>
      <c r="G16" s="10">
        <f>COUNTIFS(Sheet1!$R:$R,$A16,Sheet1!$S:$S,$A$1,Sheet1!$Q:$Q,G$3)</f>
        <v>0</v>
      </c>
      <c r="H16" s="10">
        <f>COUNTIFS(Sheet1!$R:$R,$A16,Sheet1!$S:$S,$A$1,Sheet1!$Q:$Q,H$3)</f>
        <v>0</v>
      </c>
      <c r="I16" s="10">
        <f>COUNTIFS(Sheet1!$R:$R,$A16,Sheet1!$S:$S,$A$1,Sheet1!$Q:$Q,I$3)</f>
        <v>0</v>
      </c>
      <c r="J16" s="10">
        <f>COUNTIFS(Sheet1!$R:$R,$A16,Sheet1!$S:$S,$A$1,Sheet1!$Q:$Q,J$3)</f>
        <v>0</v>
      </c>
      <c r="K16" s="10">
        <f>COUNTIFS(Sheet1!$R:$R,$A16,Sheet1!$S:$S,$A$1,Sheet1!$Q:$Q,K$3)</f>
        <v>0</v>
      </c>
      <c r="L16" s="10">
        <f>COUNTIFS(Sheet1!$R:$R,$A16,Sheet1!$S:$S,$A$1,Sheet1!$Q:$Q,L$3)</f>
        <v>0</v>
      </c>
      <c r="M16" s="10">
        <f>COUNTIFS(Sheet1!$R:$R,$A16,Sheet1!$S:$S,$A$1,Sheet1!$Q:$Q,M$3)</f>
        <v>0</v>
      </c>
      <c r="N16" s="10">
        <f>COUNTIFS(Sheet1!$R:$R,$A16,Sheet1!$S:$S,$A$1,Sheet1!$Q:$Q,N$3)</f>
        <v>5</v>
      </c>
      <c r="O16" s="10">
        <f>COUNTIFS(Sheet1!$R:$R,$A16,Sheet1!$S:$S,$A$1,Sheet1!$Q:$Q,O$3)</f>
        <v>0</v>
      </c>
      <c r="P16" s="10">
        <f>COUNTIFS(Sheet1!$R:$R,$A16,Sheet1!$S:$S,$A$1,Sheet1!$Q:$Q,P$3)</f>
        <v>0</v>
      </c>
      <c r="Q16" s="10">
        <f>COUNTIFS(Sheet1!$R:$R,$A16,Sheet1!$S:$S,$A$1,Sheet1!$Q:$Q,Q$3)</f>
        <v>0</v>
      </c>
      <c r="R16" s="10">
        <f>COUNTIFS(Sheet1!$R:$R,$A16,Sheet1!$S:$S,$A$1,Sheet1!$Q:$Q,R$3)</f>
        <v>0</v>
      </c>
      <c r="S16" s="10">
        <f>COUNTIFS(Sheet1!$R:$R,$A16,Sheet1!$S:$S,$A$1,Sheet1!$Q:$Q,S$3)</f>
        <v>0</v>
      </c>
      <c r="T16" s="10">
        <f>COUNTIFS(Sheet1!$R:$R,$A16,Sheet1!$S:$S,$A$1,Sheet1!$Q:$Q,T$3)</f>
        <v>0</v>
      </c>
      <c r="U16" s="10">
        <f>COUNTIFS(Sheet1!$R:$R,$A16,Sheet1!$S:$S,$A$1,Sheet1!$Q:$Q,U$3)</f>
        <v>5</v>
      </c>
      <c r="V16" s="10">
        <f>COUNTIFS(Sheet1!$R:$R,$A16,Sheet1!$S:$S,$A$1,Sheet1!$Q:$Q,V$3)</f>
        <v>0</v>
      </c>
      <c r="W16" s="10">
        <f>COUNTIFS(Sheet1!$R:$R,$A16,Sheet1!$S:$S,$A$1,Sheet1!$Q:$Q,W$3)</f>
        <v>0</v>
      </c>
      <c r="X16" s="10">
        <f>COUNTIFS(Sheet1!$R:$R,$A16,Sheet1!$S:$S,$A$1,Sheet1!$Q:$Q,X$3)</f>
        <v>5</v>
      </c>
      <c r="Y16" s="10">
        <f>COUNTIFS(Sheet1!$R:$R,$A16,Sheet1!$S:$S,$A$1,Sheet1!$Q:$Q,Y$3)</f>
        <v>0</v>
      </c>
      <c r="Z16" s="10">
        <f>COUNTIFS(Sheet1!$R:$R,$A16,Sheet1!$S:$S,$A$1,Sheet1!$Q:$Q,Z$3)</f>
        <v>0</v>
      </c>
      <c r="AA16" s="10">
        <f>COUNTIFS(Sheet1!$R:$R,$A16,Sheet1!$S:$S,$A$1,Sheet1!$Q:$Q,AA$3)</f>
        <v>0</v>
      </c>
      <c r="AB16" s="8"/>
    </row>
    <row r="17" spans="1:28">
      <c r="A17" s="8" t="s">
        <v>333</v>
      </c>
      <c r="B17" s="10">
        <f>COUNTIFS(Sheet1!$R:$R,$A17,Sheet1!$S:$S,$A$1,Sheet1!$Q:$Q,B$3)</f>
        <v>0</v>
      </c>
      <c r="C17" s="10">
        <f>COUNTIFS(Sheet1!$R:$R,$A17,Sheet1!$S:$S,$A$1,Sheet1!$Q:$Q,C$3)</f>
        <v>0</v>
      </c>
      <c r="D17" s="10">
        <f>COUNTIFS(Sheet1!$R:$R,$A17,Sheet1!$S:$S,$A$1,Sheet1!$Q:$Q,D$3)</f>
        <v>0</v>
      </c>
      <c r="E17" s="10">
        <f>COUNTIFS(Sheet1!$R:$R,$A17,Sheet1!$S:$S,$A$1,Sheet1!$Q:$Q,E$3)</f>
        <v>0</v>
      </c>
      <c r="F17" s="10">
        <f>COUNTIFS(Sheet1!$R:$R,$A17,Sheet1!$S:$S,$A$1,Sheet1!$Q:$Q,F$3)</f>
        <v>0</v>
      </c>
      <c r="G17" s="10">
        <f>COUNTIFS(Sheet1!$R:$R,$A17,Sheet1!$S:$S,$A$1,Sheet1!$Q:$Q,G$3)</f>
        <v>0</v>
      </c>
      <c r="H17" s="10">
        <f>COUNTIFS(Sheet1!$R:$R,$A17,Sheet1!$S:$S,$A$1,Sheet1!$Q:$Q,H$3)</f>
        <v>0</v>
      </c>
      <c r="I17" s="10">
        <f>COUNTIFS(Sheet1!$R:$R,$A17,Sheet1!$S:$S,$A$1,Sheet1!$Q:$Q,I$3)</f>
        <v>0</v>
      </c>
      <c r="J17" s="10">
        <f>COUNTIFS(Sheet1!$R:$R,$A17,Sheet1!$S:$S,$A$1,Sheet1!$Q:$Q,J$3)</f>
        <v>0</v>
      </c>
      <c r="K17" s="10">
        <f>COUNTIFS(Sheet1!$R:$R,$A17,Sheet1!$S:$S,$A$1,Sheet1!$Q:$Q,K$3)</f>
        <v>0</v>
      </c>
      <c r="L17" s="10">
        <f>COUNTIFS(Sheet1!$R:$R,$A17,Sheet1!$S:$S,$A$1,Sheet1!$Q:$Q,L$3)</f>
        <v>0</v>
      </c>
      <c r="M17" s="10">
        <f>COUNTIFS(Sheet1!$R:$R,$A17,Sheet1!$S:$S,$A$1,Sheet1!$Q:$Q,M$3)</f>
        <v>0</v>
      </c>
      <c r="N17" s="10">
        <f>COUNTIFS(Sheet1!$R:$R,$A17,Sheet1!$S:$S,$A$1,Sheet1!$Q:$Q,N$3)</f>
        <v>0</v>
      </c>
      <c r="O17" s="10">
        <f>COUNTIFS(Sheet1!$R:$R,$A17,Sheet1!$S:$S,$A$1,Sheet1!$Q:$Q,O$3)</f>
        <v>0</v>
      </c>
      <c r="P17" s="10">
        <f>COUNTIFS(Sheet1!$R:$R,$A17,Sheet1!$S:$S,$A$1,Sheet1!$Q:$Q,P$3)</f>
        <v>0</v>
      </c>
      <c r="Q17" s="10">
        <f>COUNTIFS(Sheet1!$R:$R,$A17,Sheet1!$S:$S,$A$1,Sheet1!$Q:$Q,Q$3)</f>
        <v>0</v>
      </c>
      <c r="R17" s="10">
        <f>COUNTIFS(Sheet1!$R:$R,$A17,Sheet1!$S:$S,$A$1,Sheet1!$Q:$Q,R$3)</f>
        <v>0</v>
      </c>
      <c r="S17" s="10">
        <f>COUNTIFS(Sheet1!$R:$R,$A17,Sheet1!$S:$S,$A$1,Sheet1!$Q:$Q,S$3)</f>
        <v>0</v>
      </c>
      <c r="T17" s="10">
        <f>COUNTIFS(Sheet1!$R:$R,$A17,Sheet1!$S:$S,$A$1,Sheet1!$Q:$Q,T$3)</f>
        <v>0</v>
      </c>
      <c r="U17" s="10">
        <f>COUNTIFS(Sheet1!$R:$R,$A17,Sheet1!$S:$S,$A$1,Sheet1!$Q:$Q,U$3)</f>
        <v>1</v>
      </c>
      <c r="V17" s="10">
        <f>COUNTIFS(Sheet1!$R:$R,$A17,Sheet1!$S:$S,$A$1,Sheet1!$Q:$Q,V$3)</f>
        <v>0</v>
      </c>
      <c r="W17" s="10">
        <f>COUNTIFS(Sheet1!$R:$R,$A17,Sheet1!$S:$S,$A$1,Sheet1!$Q:$Q,W$3)</f>
        <v>0</v>
      </c>
      <c r="X17" s="10">
        <f>COUNTIFS(Sheet1!$R:$R,$A17,Sheet1!$S:$S,$A$1,Sheet1!$Q:$Q,X$3)</f>
        <v>1</v>
      </c>
      <c r="Y17" s="10">
        <f>COUNTIFS(Sheet1!$R:$R,$A17,Sheet1!$S:$S,$A$1,Sheet1!$Q:$Q,Y$3)</f>
        <v>0</v>
      </c>
      <c r="Z17" s="10">
        <f>COUNTIFS(Sheet1!$R:$R,$A17,Sheet1!$S:$S,$A$1,Sheet1!$Q:$Q,Z$3)</f>
        <v>0</v>
      </c>
      <c r="AA17" s="10">
        <f>COUNTIFS(Sheet1!$R:$R,$A17,Sheet1!$S:$S,$A$1,Sheet1!$Q:$Q,AA$3)</f>
        <v>0</v>
      </c>
      <c r="AB17" s="8"/>
    </row>
    <row r="18" spans="1:28">
      <c r="A18" s="8" t="s">
        <v>344</v>
      </c>
      <c r="B18" s="10">
        <f>COUNTIFS(Sheet1!$R:$R,$A18,Sheet1!$S:$S,$A$1,Sheet1!$Q:$Q,B$3)</f>
        <v>0</v>
      </c>
      <c r="C18" s="10">
        <f>COUNTIFS(Sheet1!$R:$R,$A18,Sheet1!$S:$S,$A$1,Sheet1!$Q:$Q,C$3)</f>
        <v>0</v>
      </c>
      <c r="D18" s="10">
        <f>COUNTIFS(Sheet1!$R:$R,$A18,Sheet1!$S:$S,$A$1,Sheet1!$Q:$Q,D$3)</f>
        <v>0</v>
      </c>
      <c r="E18" s="10">
        <f>COUNTIFS(Sheet1!$R:$R,$A18,Sheet1!$S:$S,$A$1,Sheet1!$Q:$Q,E$3)</f>
        <v>0</v>
      </c>
      <c r="F18" s="10">
        <f>COUNTIFS(Sheet1!$R:$R,$A18,Sheet1!$S:$S,$A$1,Sheet1!$Q:$Q,F$3)</f>
        <v>0</v>
      </c>
      <c r="G18" s="10">
        <f>COUNTIFS(Sheet1!$R:$R,$A18,Sheet1!$S:$S,$A$1,Sheet1!$Q:$Q,G$3)</f>
        <v>0</v>
      </c>
      <c r="H18" s="10">
        <f>COUNTIFS(Sheet1!$R:$R,$A18,Sheet1!$S:$S,$A$1,Sheet1!$Q:$Q,H$3)</f>
        <v>0</v>
      </c>
      <c r="I18" s="10">
        <f>COUNTIFS(Sheet1!$R:$R,$A18,Sheet1!$S:$S,$A$1,Sheet1!$Q:$Q,I$3)</f>
        <v>0</v>
      </c>
      <c r="J18" s="10">
        <f>COUNTIFS(Sheet1!$R:$R,$A18,Sheet1!$S:$S,$A$1,Sheet1!$Q:$Q,J$3)</f>
        <v>0</v>
      </c>
      <c r="K18" s="10">
        <f>COUNTIFS(Sheet1!$R:$R,$A18,Sheet1!$S:$S,$A$1,Sheet1!$Q:$Q,K$3)</f>
        <v>0</v>
      </c>
      <c r="L18" s="10">
        <f>COUNTIFS(Sheet1!$R:$R,$A18,Sheet1!$S:$S,$A$1,Sheet1!$Q:$Q,L$3)</f>
        <v>0</v>
      </c>
      <c r="M18" s="10">
        <f>COUNTIFS(Sheet1!$R:$R,$A18,Sheet1!$S:$S,$A$1,Sheet1!$Q:$Q,M$3)</f>
        <v>0</v>
      </c>
      <c r="N18" s="10">
        <f>COUNTIFS(Sheet1!$R:$R,$A18,Sheet1!$S:$S,$A$1,Sheet1!$Q:$Q,N$3)</f>
        <v>1</v>
      </c>
      <c r="O18" s="10">
        <f>COUNTIFS(Sheet1!$R:$R,$A18,Sheet1!$S:$S,$A$1,Sheet1!$Q:$Q,O$3)</f>
        <v>0</v>
      </c>
      <c r="P18" s="10">
        <f>COUNTIFS(Sheet1!$R:$R,$A18,Sheet1!$S:$S,$A$1,Sheet1!$Q:$Q,P$3)</f>
        <v>1</v>
      </c>
      <c r="Q18" s="10">
        <f>COUNTIFS(Sheet1!$R:$R,$A18,Sheet1!$S:$S,$A$1,Sheet1!$Q:$Q,Q$3)</f>
        <v>0</v>
      </c>
      <c r="R18" s="10">
        <f>COUNTIFS(Sheet1!$R:$R,$A18,Sheet1!$S:$S,$A$1,Sheet1!$Q:$Q,R$3)</f>
        <v>0</v>
      </c>
      <c r="S18" s="10">
        <f>COUNTIFS(Sheet1!$R:$R,$A18,Sheet1!$S:$S,$A$1,Sheet1!$Q:$Q,S$3)</f>
        <v>2</v>
      </c>
      <c r="T18" s="10">
        <f>COUNTIFS(Sheet1!$R:$R,$A18,Sheet1!$S:$S,$A$1,Sheet1!$Q:$Q,T$3)</f>
        <v>0</v>
      </c>
      <c r="U18" s="10">
        <f>COUNTIFS(Sheet1!$R:$R,$A18,Sheet1!$S:$S,$A$1,Sheet1!$Q:$Q,U$3)</f>
        <v>0</v>
      </c>
      <c r="V18" s="10">
        <f>COUNTIFS(Sheet1!$R:$R,$A18,Sheet1!$S:$S,$A$1,Sheet1!$Q:$Q,V$3)</f>
        <v>0</v>
      </c>
      <c r="W18" s="10">
        <f>COUNTIFS(Sheet1!$R:$R,$A18,Sheet1!$S:$S,$A$1,Sheet1!$Q:$Q,W$3)</f>
        <v>0</v>
      </c>
      <c r="X18" s="10">
        <f>COUNTIFS(Sheet1!$R:$R,$A18,Sheet1!$S:$S,$A$1,Sheet1!$Q:$Q,X$3)</f>
        <v>3</v>
      </c>
      <c r="Y18" s="10">
        <f>COUNTIFS(Sheet1!$R:$R,$A18,Sheet1!$S:$S,$A$1,Sheet1!$Q:$Q,Y$3)</f>
        <v>0</v>
      </c>
      <c r="Z18" s="10">
        <f>COUNTIFS(Sheet1!$R:$R,$A18,Sheet1!$S:$S,$A$1,Sheet1!$Q:$Q,Z$3)</f>
        <v>0</v>
      </c>
      <c r="AA18" s="10">
        <f>COUNTIFS(Sheet1!$R:$R,$A18,Sheet1!$S:$S,$A$1,Sheet1!$Q:$Q,AA$3)</f>
        <v>0</v>
      </c>
      <c r="AB18" s="6"/>
    </row>
    <row r="19" spans="1:28">
      <c r="A19" s="7" t="s">
        <v>150</v>
      </c>
      <c r="B19" s="10">
        <f>COUNTIFS(Sheet1!$R:$R,$A19,Sheet1!$S:$S,$A$1,Sheet1!$Q:$Q,B$3)</f>
        <v>0</v>
      </c>
      <c r="C19" s="10">
        <f>COUNTIFS(Sheet1!$R:$R,$A19,Sheet1!$S:$S,$A$1,Sheet1!$Q:$Q,C$3)</f>
        <v>0</v>
      </c>
      <c r="D19" s="10">
        <f>COUNTIFS(Sheet1!$R:$R,$A19,Sheet1!$S:$S,$A$1,Sheet1!$Q:$Q,D$3)</f>
        <v>0</v>
      </c>
      <c r="E19" s="10">
        <f>COUNTIFS(Sheet1!$R:$R,$A19,Sheet1!$S:$S,$A$1,Sheet1!$Q:$Q,E$3)</f>
        <v>0</v>
      </c>
      <c r="F19" s="10">
        <f>COUNTIFS(Sheet1!$R:$R,$A19,Sheet1!$S:$S,$A$1,Sheet1!$Q:$Q,F$3)</f>
        <v>0</v>
      </c>
      <c r="G19" s="10">
        <f>COUNTIFS(Sheet1!$R:$R,$A19,Sheet1!$S:$S,$A$1,Sheet1!$Q:$Q,G$3)</f>
        <v>0</v>
      </c>
      <c r="H19" s="10">
        <f>COUNTIFS(Sheet1!$R:$R,$A19,Sheet1!$S:$S,$A$1,Sheet1!$Q:$Q,H$3)</f>
        <v>0</v>
      </c>
      <c r="I19" s="10">
        <f>COUNTIFS(Sheet1!$R:$R,$A19,Sheet1!$S:$S,$A$1,Sheet1!$Q:$Q,I$3)</f>
        <v>0</v>
      </c>
      <c r="J19" s="10">
        <f>COUNTIFS(Sheet1!$R:$R,$A19,Sheet1!$S:$S,$A$1,Sheet1!$Q:$Q,J$3)</f>
        <v>0</v>
      </c>
      <c r="K19" s="10">
        <f>COUNTIFS(Sheet1!$R:$R,$A19,Sheet1!$S:$S,$A$1,Sheet1!$Q:$Q,K$3)</f>
        <v>0</v>
      </c>
      <c r="L19" s="10">
        <f>COUNTIFS(Sheet1!$R:$R,$A19,Sheet1!$S:$S,$A$1,Sheet1!$Q:$Q,L$3)</f>
        <v>0</v>
      </c>
      <c r="M19" s="10">
        <f>COUNTIFS(Sheet1!$R:$R,$A19,Sheet1!$S:$S,$A$1,Sheet1!$Q:$Q,M$3)</f>
        <v>0</v>
      </c>
      <c r="N19" s="10">
        <f>COUNTIFS(Sheet1!$R:$R,$A19,Sheet1!$S:$S,$A$1,Sheet1!$Q:$Q,N$3)</f>
        <v>1</v>
      </c>
      <c r="O19" s="10">
        <f>COUNTIFS(Sheet1!$R:$R,$A19,Sheet1!$S:$S,$A$1,Sheet1!$Q:$Q,O$3)</f>
        <v>0</v>
      </c>
      <c r="P19" s="10">
        <f>COUNTIFS(Sheet1!$R:$R,$A19,Sheet1!$S:$S,$A$1,Sheet1!$Q:$Q,P$3)</f>
        <v>0</v>
      </c>
      <c r="Q19" s="10">
        <f>COUNTIFS(Sheet1!$R:$R,$A19,Sheet1!$S:$S,$A$1,Sheet1!$Q:$Q,Q$3)</f>
        <v>0</v>
      </c>
      <c r="R19" s="10">
        <f>COUNTIFS(Sheet1!$R:$R,$A19,Sheet1!$S:$S,$A$1,Sheet1!$Q:$Q,R$3)</f>
        <v>0</v>
      </c>
      <c r="S19" s="10">
        <f>COUNTIFS(Sheet1!$R:$R,$A19,Sheet1!$S:$S,$A$1,Sheet1!$Q:$Q,S$3)</f>
        <v>2</v>
      </c>
      <c r="T19" s="10">
        <f>COUNTIFS(Sheet1!$R:$R,$A19,Sheet1!$S:$S,$A$1,Sheet1!$Q:$Q,T$3)</f>
        <v>0</v>
      </c>
      <c r="U19" s="10">
        <f>COUNTIFS(Sheet1!$R:$R,$A19,Sheet1!$S:$S,$A$1,Sheet1!$Q:$Q,U$3)</f>
        <v>0</v>
      </c>
      <c r="V19" s="10">
        <f>COUNTIFS(Sheet1!$R:$R,$A19,Sheet1!$S:$S,$A$1,Sheet1!$Q:$Q,V$3)</f>
        <v>0</v>
      </c>
      <c r="W19" s="10">
        <f>COUNTIFS(Sheet1!$R:$R,$A19,Sheet1!$S:$S,$A$1,Sheet1!$Q:$Q,W$3)</f>
        <v>0</v>
      </c>
      <c r="X19" s="10">
        <f>COUNTIFS(Sheet1!$R:$R,$A19,Sheet1!$S:$S,$A$1,Sheet1!$Q:$Q,X$3)</f>
        <v>2</v>
      </c>
      <c r="Y19" s="10">
        <f>COUNTIFS(Sheet1!$R:$R,$A19,Sheet1!$S:$S,$A$1,Sheet1!$Q:$Q,Y$3)</f>
        <v>0</v>
      </c>
      <c r="Z19" s="10">
        <f>COUNTIFS(Sheet1!$R:$R,$A19,Sheet1!$S:$S,$A$1,Sheet1!$Q:$Q,Z$3)</f>
        <v>0</v>
      </c>
      <c r="AA19" s="10">
        <f>COUNTIFS(Sheet1!$R:$R,$A19,Sheet1!$S:$S,$A$1,Sheet1!$Q:$Q,AA$3)</f>
        <v>0</v>
      </c>
      <c r="AB19" s="8"/>
    </row>
    <row r="20" spans="1:28">
      <c r="A20" s="8" t="s">
        <v>458</v>
      </c>
      <c r="B20" s="10">
        <f>COUNTIFS(Sheet1!$R:$R,$A20,Sheet1!$S:$S,$A$1,Sheet1!$Q:$Q,B$3)</f>
        <v>0</v>
      </c>
      <c r="C20" s="10">
        <f>COUNTIFS(Sheet1!$R:$R,$A20,Sheet1!$S:$S,$A$1,Sheet1!$Q:$Q,C$3)</f>
        <v>0</v>
      </c>
      <c r="D20" s="10">
        <f>COUNTIFS(Sheet1!$R:$R,$A20,Sheet1!$S:$S,$A$1,Sheet1!$Q:$Q,D$3)</f>
        <v>0</v>
      </c>
      <c r="E20" s="10">
        <f>COUNTIFS(Sheet1!$R:$R,$A20,Sheet1!$S:$S,$A$1,Sheet1!$Q:$Q,E$3)</f>
        <v>0</v>
      </c>
      <c r="F20" s="10">
        <f>COUNTIFS(Sheet1!$R:$R,$A20,Sheet1!$S:$S,$A$1,Sheet1!$Q:$Q,F$3)</f>
        <v>0</v>
      </c>
      <c r="G20" s="10">
        <f>COUNTIFS(Sheet1!$R:$R,$A20,Sheet1!$S:$S,$A$1,Sheet1!$Q:$Q,G$3)</f>
        <v>0</v>
      </c>
      <c r="H20" s="10">
        <f>COUNTIFS(Sheet1!$R:$R,$A20,Sheet1!$S:$S,$A$1,Sheet1!$Q:$Q,H$3)</f>
        <v>0</v>
      </c>
      <c r="I20" s="10">
        <f>COUNTIFS(Sheet1!$R:$R,$A20,Sheet1!$S:$S,$A$1,Sheet1!$Q:$Q,I$3)</f>
        <v>0</v>
      </c>
      <c r="J20" s="10">
        <f>COUNTIFS(Sheet1!$R:$R,$A20,Sheet1!$S:$S,$A$1,Sheet1!$Q:$Q,J$3)</f>
        <v>0</v>
      </c>
      <c r="K20" s="10">
        <f>COUNTIFS(Sheet1!$R:$R,$A20,Sheet1!$S:$S,$A$1,Sheet1!$Q:$Q,K$3)</f>
        <v>0</v>
      </c>
      <c r="L20" s="10">
        <f>COUNTIFS(Sheet1!$R:$R,$A20,Sheet1!$S:$S,$A$1,Sheet1!$Q:$Q,L$3)</f>
        <v>0</v>
      </c>
      <c r="M20" s="10">
        <f>COUNTIFS(Sheet1!$R:$R,$A20,Sheet1!$S:$S,$A$1,Sheet1!$Q:$Q,M$3)</f>
        <v>0</v>
      </c>
      <c r="N20" s="10">
        <f>COUNTIFS(Sheet1!$R:$R,$A20,Sheet1!$S:$S,$A$1,Sheet1!$Q:$Q,N$3)</f>
        <v>0</v>
      </c>
      <c r="O20" s="10">
        <f>COUNTIFS(Sheet1!$R:$R,$A20,Sheet1!$S:$S,$A$1,Sheet1!$Q:$Q,O$3)</f>
        <v>0</v>
      </c>
      <c r="P20" s="10">
        <f>COUNTIFS(Sheet1!$R:$R,$A20,Sheet1!$S:$S,$A$1,Sheet1!$Q:$Q,P$3)</f>
        <v>0</v>
      </c>
      <c r="Q20" s="10">
        <f>COUNTIFS(Sheet1!$R:$R,$A20,Sheet1!$S:$S,$A$1,Sheet1!$Q:$Q,Q$3)</f>
        <v>0</v>
      </c>
      <c r="R20" s="10">
        <f>COUNTIFS(Sheet1!$R:$R,$A20,Sheet1!$S:$S,$A$1,Sheet1!$Q:$Q,R$3)</f>
        <v>0</v>
      </c>
      <c r="S20" s="10">
        <f>COUNTIFS(Sheet1!$R:$R,$A20,Sheet1!$S:$S,$A$1,Sheet1!$Q:$Q,S$3)</f>
        <v>0</v>
      </c>
      <c r="T20" s="10">
        <f>COUNTIFS(Sheet1!$R:$R,$A20,Sheet1!$S:$S,$A$1,Sheet1!$Q:$Q,T$3)</f>
        <v>0</v>
      </c>
      <c r="U20" s="10">
        <f>COUNTIFS(Sheet1!$R:$R,$A20,Sheet1!$S:$S,$A$1,Sheet1!$Q:$Q,U$3)</f>
        <v>0</v>
      </c>
      <c r="V20" s="10">
        <f>COUNTIFS(Sheet1!$R:$R,$A20,Sheet1!$S:$S,$A$1,Sheet1!$Q:$Q,V$3)</f>
        <v>0</v>
      </c>
      <c r="W20" s="10">
        <f>COUNTIFS(Sheet1!$R:$R,$A20,Sheet1!$S:$S,$A$1,Sheet1!$Q:$Q,W$3)</f>
        <v>0</v>
      </c>
      <c r="X20" s="10">
        <f>COUNTIFS(Sheet1!$R:$R,$A20,Sheet1!$S:$S,$A$1,Sheet1!$Q:$Q,X$3)</f>
        <v>0</v>
      </c>
      <c r="Y20" s="10">
        <f>COUNTIFS(Sheet1!$R:$R,$A20,Sheet1!$S:$S,$A$1,Sheet1!$Q:$Q,Y$3)</f>
        <v>0</v>
      </c>
      <c r="Z20" s="10">
        <f>COUNTIFS(Sheet1!$R:$R,$A20,Sheet1!$S:$S,$A$1,Sheet1!$Q:$Q,Z$3)</f>
        <v>0</v>
      </c>
      <c r="AA20" s="10">
        <f>COUNTIFS(Sheet1!$R:$R,$A20,Sheet1!$S:$S,$A$1,Sheet1!$Q:$Q,AA$3)</f>
        <v>0</v>
      </c>
      <c r="AB20" s="8"/>
    </row>
    <row r="21" spans="1:28">
      <c r="A21" s="8" t="s">
        <v>223</v>
      </c>
      <c r="B21" s="10">
        <f>COUNTIFS(Sheet1!$R:$R,$A21,Sheet1!$S:$S,$A$1,Sheet1!$Q:$Q,B$3)</f>
        <v>0</v>
      </c>
      <c r="C21" s="10">
        <f>COUNTIFS(Sheet1!$R:$R,$A21,Sheet1!$S:$S,$A$1,Sheet1!$Q:$Q,C$3)</f>
        <v>0</v>
      </c>
      <c r="D21" s="10">
        <f>COUNTIFS(Sheet1!$R:$R,$A21,Sheet1!$S:$S,$A$1,Sheet1!$Q:$Q,D$3)</f>
        <v>0</v>
      </c>
      <c r="E21" s="10">
        <f>COUNTIFS(Sheet1!$R:$R,$A21,Sheet1!$S:$S,$A$1,Sheet1!$Q:$Q,E$3)</f>
        <v>0</v>
      </c>
      <c r="F21" s="10">
        <f>COUNTIFS(Sheet1!$R:$R,$A21,Sheet1!$S:$S,$A$1,Sheet1!$Q:$Q,F$3)</f>
        <v>0</v>
      </c>
      <c r="G21" s="10">
        <f>COUNTIFS(Sheet1!$R:$R,$A21,Sheet1!$S:$S,$A$1,Sheet1!$Q:$Q,G$3)</f>
        <v>0</v>
      </c>
      <c r="H21" s="10">
        <f>COUNTIFS(Sheet1!$R:$R,$A21,Sheet1!$S:$S,$A$1,Sheet1!$Q:$Q,H$3)</f>
        <v>0</v>
      </c>
      <c r="I21" s="10">
        <f>COUNTIFS(Sheet1!$R:$R,$A21,Sheet1!$S:$S,$A$1,Sheet1!$Q:$Q,I$3)</f>
        <v>0</v>
      </c>
      <c r="J21" s="10">
        <f>COUNTIFS(Sheet1!$R:$R,$A21,Sheet1!$S:$S,$A$1,Sheet1!$Q:$Q,J$3)</f>
        <v>0</v>
      </c>
      <c r="K21" s="10">
        <f>COUNTIFS(Sheet1!$R:$R,$A21,Sheet1!$S:$S,$A$1,Sheet1!$Q:$Q,K$3)</f>
        <v>0</v>
      </c>
      <c r="L21" s="10">
        <f>COUNTIFS(Sheet1!$R:$R,$A21,Sheet1!$S:$S,$A$1,Sheet1!$Q:$Q,L$3)</f>
        <v>0</v>
      </c>
      <c r="M21" s="10">
        <f>COUNTIFS(Sheet1!$R:$R,$A21,Sheet1!$S:$S,$A$1,Sheet1!$Q:$Q,M$3)</f>
        <v>0</v>
      </c>
      <c r="N21" s="10">
        <f>COUNTIFS(Sheet1!$R:$R,$A21,Sheet1!$S:$S,$A$1,Sheet1!$Q:$Q,N$3)</f>
        <v>1</v>
      </c>
      <c r="O21" s="10">
        <f>COUNTIFS(Sheet1!$R:$R,$A21,Sheet1!$S:$S,$A$1,Sheet1!$Q:$Q,O$3)</f>
        <v>0</v>
      </c>
      <c r="P21" s="10">
        <f>COUNTIFS(Sheet1!$R:$R,$A21,Sheet1!$S:$S,$A$1,Sheet1!$Q:$Q,P$3)</f>
        <v>0</v>
      </c>
      <c r="Q21" s="10">
        <f>COUNTIFS(Sheet1!$R:$R,$A21,Sheet1!$S:$S,$A$1,Sheet1!$Q:$Q,Q$3)</f>
        <v>0</v>
      </c>
      <c r="R21" s="10">
        <f>COUNTIFS(Sheet1!$R:$R,$A21,Sheet1!$S:$S,$A$1,Sheet1!$Q:$Q,R$3)</f>
        <v>0</v>
      </c>
      <c r="S21" s="10">
        <f>COUNTIFS(Sheet1!$R:$R,$A21,Sheet1!$S:$S,$A$1,Sheet1!$Q:$Q,S$3)</f>
        <v>1</v>
      </c>
      <c r="T21" s="10">
        <f>COUNTIFS(Sheet1!$R:$R,$A21,Sheet1!$S:$S,$A$1,Sheet1!$Q:$Q,T$3)</f>
        <v>0</v>
      </c>
      <c r="U21" s="10">
        <f>COUNTIFS(Sheet1!$R:$R,$A21,Sheet1!$S:$S,$A$1,Sheet1!$Q:$Q,U$3)</f>
        <v>0</v>
      </c>
      <c r="V21" s="10">
        <f>COUNTIFS(Sheet1!$R:$R,$A21,Sheet1!$S:$S,$A$1,Sheet1!$Q:$Q,V$3)</f>
        <v>0</v>
      </c>
      <c r="W21" s="10">
        <f>COUNTIFS(Sheet1!$R:$R,$A21,Sheet1!$S:$S,$A$1,Sheet1!$Q:$Q,W$3)</f>
        <v>0</v>
      </c>
      <c r="X21" s="10">
        <f>COUNTIFS(Sheet1!$R:$R,$A21,Sheet1!$S:$S,$A$1,Sheet1!$Q:$Q,X$3)</f>
        <v>0</v>
      </c>
      <c r="Y21" s="10">
        <f>COUNTIFS(Sheet1!$R:$R,$A21,Sheet1!$S:$S,$A$1,Sheet1!$Q:$Q,Y$3)</f>
        <v>0</v>
      </c>
      <c r="Z21" s="10">
        <f>COUNTIFS(Sheet1!$R:$R,$A21,Sheet1!$S:$S,$A$1,Sheet1!$Q:$Q,Z$3)</f>
        <v>0</v>
      </c>
      <c r="AA21" s="10">
        <f>COUNTIFS(Sheet1!$R:$R,$A21,Sheet1!$S:$S,$A$1,Sheet1!$Q:$Q,AA$3)</f>
        <v>0</v>
      </c>
      <c r="AB21" s="8"/>
    </row>
    <row r="22" spans="1:28">
      <c r="A22" s="8" t="s">
        <v>312</v>
      </c>
      <c r="B22" s="10">
        <f>COUNTIFS(Sheet1!$R:$R,$A22,Sheet1!$S:$S,$A$1,Sheet1!$Q:$Q,B$3)</f>
        <v>0</v>
      </c>
      <c r="C22" s="10">
        <f>COUNTIFS(Sheet1!$R:$R,$A22,Sheet1!$S:$S,$A$1,Sheet1!$Q:$Q,C$3)</f>
        <v>0</v>
      </c>
      <c r="D22" s="10">
        <f>COUNTIFS(Sheet1!$R:$R,$A22,Sheet1!$S:$S,$A$1,Sheet1!$Q:$Q,D$3)</f>
        <v>0</v>
      </c>
      <c r="E22" s="10">
        <f>COUNTIFS(Sheet1!$R:$R,$A22,Sheet1!$S:$S,$A$1,Sheet1!$Q:$Q,E$3)</f>
        <v>0</v>
      </c>
      <c r="F22" s="10">
        <f>COUNTIFS(Sheet1!$R:$R,$A22,Sheet1!$S:$S,$A$1,Sheet1!$Q:$Q,F$3)</f>
        <v>0</v>
      </c>
      <c r="G22" s="10">
        <f>COUNTIFS(Sheet1!$R:$R,$A22,Sheet1!$S:$S,$A$1,Sheet1!$Q:$Q,G$3)</f>
        <v>0</v>
      </c>
      <c r="H22" s="10">
        <f>COUNTIFS(Sheet1!$R:$R,$A22,Sheet1!$S:$S,$A$1,Sheet1!$Q:$Q,H$3)</f>
        <v>0</v>
      </c>
      <c r="I22" s="10">
        <f>COUNTIFS(Sheet1!$R:$R,$A22,Sheet1!$S:$S,$A$1,Sheet1!$Q:$Q,I$3)</f>
        <v>0</v>
      </c>
      <c r="J22" s="10">
        <f>COUNTIFS(Sheet1!$R:$R,$A22,Sheet1!$S:$S,$A$1,Sheet1!$Q:$Q,J$3)</f>
        <v>0</v>
      </c>
      <c r="K22" s="10">
        <f>COUNTIFS(Sheet1!$R:$R,$A22,Sheet1!$S:$S,$A$1,Sheet1!$Q:$Q,K$3)</f>
        <v>0</v>
      </c>
      <c r="L22" s="10">
        <f>COUNTIFS(Sheet1!$R:$R,$A22,Sheet1!$S:$S,$A$1,Sheet1!$Q:$Q,L$3)</f>
        <v>0</v>
      </c>
      <c r="M22" s="10">
        <f>COUNTIFS(Sheet1!$R:$R,$A22,Sheet1!$S:$S,$A$1,Sheet1!$Q:$Q,M$3)</f>
        <v>0</v>
      </c>
      <c r="N22" s="10">
        <f>COUNTIFS(Sheet1!$R:$R,$A22,Sheet1!$S:$S,$A$1,Sheet1!$Q:$Q,N$3)</f>
        <v>0</v>
      </c>
      <c r="O22" s="10">
        <f>COUNTIFS(Sheet1!$R:$R,$A22,Sheet1!$S:$S,$A$1,Sheet1!$Q:$Q,O$3)</f>
        <v>0</v>
      </c>
      <c r="P22" s="10">
        <f>COUNTIFS(Sheet1!$R:$R,$A22,Sheet1!$S:$S,$A$1,Sheet1!$Q:$Q,P$3)</f>
        <v>0</v>
      </c>
      <c r="Q22" s="10">
        <f>COUNTIFS(Sheet1!$R:$R,$A22,Sheet1!$S:$S,$A$1,Sheet1!$Q:$Q,Q$3)</f>
        <v>0</v>
      </c>
      <c r="R22" s="10">
        <f>COUNTIFS(Sheet1!$R:$R,$A22,Sheet1!$S:$S,$A$1,Sheet1!$Q:$Q,R$3)</f>
        <v>0</v>
      </c>
      <c r="S22" s="10">
        <f>COUNTIFS(Sheet1!$R:$R,$A22,Sheet1!$S:$S,$A$1,Sheet1!$Q:$Q,S$3)</f>
        <v>1</v>
      </c>
      <c r="T22" s="10">
        <f>COUNTIFS(Sheet1!$R:$R,$A22,Sheet1!$S:$S,$A$1,Sheet1!$Q:$Q,T$3)</f>
        <v>0</v>
      </c>
      <c r="U22" s="10">
        <f>COUNTIFS(Sheet1!$R:$R,$A22,Sheet1!$S:$S,$A$1,Sheet1!$Q:$Q,U$3)</f>
        <v>0</v>
      </c>
      <c r="V22" s="10">
        <f>COUNTIFS(Sheet1!$R:$R,$A22,Sheet1!$S:$S,$A$1,Sheet1!$Q:$Q,V$3)</f>
        <v>0</v>
      </c>
      <c r="W22" s="10">
        <f>COUNTIFS(Sheet1!$R:$R,$A22,Sheet1!$S:$S,$A$1,Sheet1!$Q:$Q,W$3)</f>
        <v>0</v>
      </c>
      <c r="X22" s="10">
        <f>COUNTIFS(Sheet1!$R:$R,$A22,Sheet1!$S:$S,$A$1,Sheet1!$Q:$Q,X$3)</f>
        <v>1</v>
      </c>
      <c r="Y22" s="10">
        <f>COUNTIFS(Sheet1!$R:$R,$A22,Sheet1!$S:$S,$A$1,Sheet1!$Q:$Q,Y$3)</f>
        <v>0</v>
      </c>
      <c r="Z22" s="10">
        <f>COUNTIFS(Sheet1!$R:$R,$A22,Sheet1!$S:$S,$A$1,Sheet1!$Q:$Q,Z$3)</f>
        <v>0</v>
      </c>
      <c r="AA22" s="10">
        <f>COUNTIFS(Sheet1!$R:$R,$A22,Sheet1!$S:$S,$A$1,Sheet1!$Q:$Q,AA$3)</f>
        <v>0</v>
      </c>
      <c r="AB22" s="8"/>
    </row>
    <row r="23" spans="1:28">
      <c r="A23" s="8" t="s">
        <v>459</v>
      </c>
      <c r="B23" s="10">
        <f>COUNTIFS(Sheet1!$R:$R,$A23,Sheet1!$S:$S,$A$1,Sheet1!$Q:$Q,B$3)</f>
        <v>0</v>
      </c>
      <c r="C23" s="10">
        <f>COUNTIFS(Sheet1!$R:$R,$A23,Sheet1!$S:$S,$A$1,Sheet1!$Q:$Q,C$3)</f>
        <v>0</v>
      </c>
      <c r="D23" s="10">
        <f>COUNTIFS(Sheet1!$R:$R,$A23,Sheet1!$S:$S,$A$1,Sheet1!$Q:$Q,D$3)</f>
        <v>0</v>
      </c>
      <c r="E23" s="10">
        <f>COUNTIFS(Sheet1!$R:$R,$A23,Sheet1!$S:$S,$A$1,Sheet1!$Q:$Q,E$3)</f>
        <v>0</v>
      </c>
      <c r="F23" s="10">
        <f>COUNTIFS(Sheet1!$R:$R,$A23,Sheet1!$S:$S,$A$1,Sheet1!$Q:$Q,F$3)</f>
        <v>0</v>
      </c>
      <c r="G23" s="10">
        <f>COUNTIFS(Sheet1!$R:$R,$A23,Sheet1!$S:$S,$A$1,Sheet1!$Q:$Q,G$3)</f>
        <v>0</v>
      </c>
      <c r="H23" s="10">
        <f>COUNTIFS(Sheet1!$R:$R,$A23,Sheet1!$S:$S,$A$1,Sheet1!$Q:$Q,H$3)</f>
        <v>0</v>
      </c>
      <c r="I23" s="10">
        <f>COUNTIFS(Sheet1!$R:$R,$A23,Sheet1!$S:$S,$A$1,Sheet1!$Q:$Q,I$3)</f>
        <v>0</v>
      </c>
      <c r="J23" s="10">
        <f>COUNTIFS(Sheet1!$R:$R,$A23,Sheet1!$S:$S,$A$1,Sheet1!$Q:$Q,J$3)</f>
        <v>0</v>
      </c>
      <c r="K23" s="10">
        <f>COUNTIFS(Sheet1!$R:$R,$A23,Sheet1!$S:$S,$A$1,Sheet1!$Q:$Q,K$3)</f>
        <v>0</v>
      </c>
      <c r="L23" s="10">
        <f>COUNTIFS(Sheet1!$R:$R,$A23,Sheet1!$S:$S,$A$1,Sheet1!$Q:$Q,L$3)</f>
        <v>0</v>
      </c>
      <c r="M23" s="10">
        <f>COUNTIFS(Sheet1!$R:$R,$A23,Sheet1!$S:$S,$A$1,Sheet1!$Q:$Q,M$3)</f>
        <v>0</v>
      </c>
      <c r="N23" s="10">
        <f>COUNTIFS(Sheet1!$R:$R,$A23,Sheet1!$S:$S,$A$1,Sheet1!$Q:$Q,N$3)</f>
        <v>0</v>
      </c>
      <c r="O23" s="10">
        <f>COUNTIFS(Sheet1!$R:$R,$A23,Sheet1!$S:$S,$A$1,Sheet1!$Q:$Q,O$3)</f>
        <v>0</v>
      </c>
      <c r="P23" s="10">
        <f>COUNTIFS(Sheet1!$R:$R,$A23,Sheet1!$S:$S,$A$1,Sheet1!$Q:$Q,P$3)</f>
        <v>0</v>
      </c>
      <c r="Q23" s="10">
        <f>COUNTIFS(Sheet1!$R:$R,$A23,Sheet1!$S:$S,$A$1,Sheet1!$Q:$Q,Q$3)</f>
        <v>0</v>
      </c>
      <c r="R23" s="10">
        <f>COUNTIFS(Sheet1!$R:$R,$A23,Sheet1!$S:$S,$A$1,Sheet1!$Q:$Q,R$3)</f>
        <v>0</v>
      </c>
      <c r="S23" s="10">
        <f>COUNTIFS(Sheet1!$R:$R,$A23,Sheet1!$S:$S,$A$1,Sheet1!$Q:$Q,S$3)</f>
        <v>0</v>
      </c>
      <c r="T23" s="10">
        <f>COUNTIFS(Sheet1!$R:$R,$A23,Sheet1!$S:$S,$A$1,Sheet1!$Q:$Q,T$3)</f>
        <v>0</v>
      </c>
      <c r="U23" s="10">
        <f>COUNTIFS(Sheet1!$R:$R,$A23,Sheet1!$S:$S,$A$1,Sheet1!$Q:$Q,U$3)</f>
        <v>0</v>
      </c>
      <c r="V23" s="10">
        <f>COUNTIFS(Sheet1!$R:$R,$A23,Sheet1!$S:$S,$A$1,Sheet1!$Q:$Q,V$3)</f>
        <v>0</v>
      </c>
      <c r="W23" s="10">
        <f>COUNTIFS(Sheet1!$R:$R,$A23,Sheet1!$S:$S,$A$1,Sheet1!$Q:$Q,W$3)</f>
        <v>0</v>
      </c>
      <c r="X23" s="10">
        <f>COUNTIFS(Sheet1!$R:$R,$A23,Sheet1!$S:$S,$A$1,Sheet1!$Q:$Q,X$3)</f>
        <v>0</v>
      </c>
      <c r="Y23" s="10">
        <f>COUNTIFS(Sheet1!$R:$R,$A23,Sheet1!$S:$S,$A$1,Sheet1!$Q:$Q,Y$3)</f>
        <v>0</v>
      </c>
      <c r="Z23" s="10">
        <f>COUNTIFS(Sheet1!$R:$R,$A23,Sheet1!$S:$S,$A$1,Sheet1!$Q:$Q,Z$3)</f>
        <v>0</v>
      </c>
      <c r="AA23" s="10">
        <f>COUNTIFS(Sheet1!$R:$R,$A23,Sheet1!$S:$S,$A$1,Sheet1!$Q:$Q,AA$3)</f>
        <v>0</v>
      </c>
      <c r="AB23" s="8"/>
    </row>
    <row r="24" spans="1:28">
      <c r="A24" s="8" t="s">
        <v>460</v>
      </c>
      <c r="B24" s="10">
        <f>COUNTIFS(Sheet1!$R:$R,$A24,Sheet1!$S:$S,$A$1,Sheet1!$Q:$Q,B$3)</f>
        <v>0</v>
      </c>
      <c r="C24" s="10">
        <f>COUNTIFS(Sheet1!$R:$R,$A24,Sheet1!$S:$S,$A$1,Sheet1!$Q:$Q,C$3)</f>
        <v>0</v>
      </c>
      <c r="D24" s="10">
        <f>COUNTIFS(Sheet1!$R:$R,$A24,Sheet1!$S:$S,$A$1,Sheet1!$Q:$Q,D$3)</f>
        <v>0</v>
      </c>
      <c r="E24" s="10">
        <f>COUNTIFS(Sheet1!$R:$R,$A24,Sheet1!$S:$S,$A$1,Sheet1!$Q:$Q,E$3)</f>
        <v>0</v>
      </c>
      <c r="F24" s="10">
        <f>COUNTIFS(Sheet1!$R:$R,$A24,Sheet1!$S:$S,$A$1,Sheet1!$Q:$Q,F$3)</f>
        <v>0</v>
      </c>
      <c r="G24" s="10">
        <f>COUNTIFS(Sheet1!$R:$R,$A24,Sheet1!$S:$S,$A$1,Sheet1!$Q:$Q,G$3)</f>
        <v>0</v>
      </c>
      <c r="H24" s="10">
        <f>COUNTIFS(Sheet1!$R:$R,$A24,Sheet1!$S:$S,$A$1,Sheet1!$Q:$Q,H$3)</f>
        <v>0</v>
      </c>
      <c r="I24" s="10">
        <f>COUNTIFS(Sheet1!$R:$R,$A24,Sheet1!$S:$S,$A$1,Sheet1!$Q:$Q,I$3)</f>
        <v>0</v>
      </c>
      <c r="J24" s="10">
        <f>COUNTIFS(Sheet1!$R:$R,$A24,Sheet1!$S:$S,$A$1,Sheet1!$Q:$Q,J$3)</f>
        <v>0</v>
      </c>
      <c r="K24" s="10">
        <f>COUNTIFS(Sheet1!$R:$R,$A24,Sheet1!$S:$S,$A$1,Sheet1!$Q:$Q,K$3)</f>
        <v>0</v>
      </c>
      <c r="L24" s="10">
        <f>COUNTIFS(Sheet1!$R:$R,$A24,Sheet1!$S:$S,$A$1,Sheet1!$Q:$Q,L$3)</f>
        <v>0</v>
      </c>
      <c r="M24" s="10">
        <f>COUNTIFS(Sheet1!$R:$R,$A24,Sheet1!$S:$S,$A$1,Sheet1!$Q:$Q,M$3)</f>
        <v>0</v>
      </c>
      <c r="N24" s="10">
        <f>COUNTIFS(Sheet1!$R:$R,$A24,Sheet1!$S:$S,$A$1,Sheet1!$Q:$Q,N$3)</f>
        <v>0</v>
      </c>
      <c r="O24" s="10">
        <f>COUNTIFS(Sheet1!$R:$R,$A24,Sheet1!$S:$S,$A$1,Sheet1!$Q:$Q,O$3)</f>
        <v>0</v>
      </c>
      <c r="P24" s="10">
        <f>COUNTIFS(Sheet1!$R:$R,$A24,Sheet1!$S:$S,$A$1,Sheet1!$Q:$Q,P$3)</f>
        <v>0</v>
      </c>
      <c r="Q24" s="10">
        <f>COUNTIFS(Sheet1!$R:$R,$A24,Sheet1!$S:$S,$A$1,Sheet1!$Q:$Q,Q$3)</f>
        <v>0</v>
      </c>
      <c r="R24" s="10">
        <f>COUNTIFS(Sheet1!$R:$R,$A24,Sheet1!$S:$S,$A$1,Sheet1!$Q:$Q,R$3)</f>
        <v>0</v>
      </c>
      <c r="S24" s="10">
        <f>COUNTIFS(Sheet1!$R:$R,$A24,Sheet1!$S:$S,$A$1,Sheet1!$Q:$Q,S$3)</f>
        <v>0</v>
      </c>
      <c r="T24" s="10">
        <f>COUNTIFS(Sheet1!$R:$R,$A24,Sheet1!$S:$S,$A$1,Sheet1!$Q:$Q,T$3)</f>
        <v>0</v>
      </c>
      <c r="U24" s="10">
        <f>COUNTIFS(Sheet1!$R:$R,$A24,Sheet1!$S:$S,$A$1,Sheet1!$Q:$Q,U$3)</f>
        <v>0</v>
      </c>
      <c r="V24" s="10">
        <f>COUNTIFS(Sheet1!$R:$R,$A24,Sheet1!$S:$S,$A$1,Sheet1!$Q:$Q,V$3)</f>
        <v>0</v>
      </c>
      <c r="W24" s="10">
        <f>COUNTIFS(Sheet1!$R:$R,$A24,Sheet1!$S:$S,$A$1,Sheet1!$Q:$Q,W$3)</f>
        <v>0</v>
      </c>
      <c r="X24" s="10">
        <f>COUNTIFS(Sheet1!$R:$R,$A24,Sheet1!$S:$S,$A$1,Sheet1!$Q:$Q,X$3)</f>
        <v>0</v>
      </c>
      <c r="Y24" s="10">
        <f>COUNTIFS(Sheet1!$R:$R,$A24,Sheet1!$S:$S,$A$1,Sheet1!$Q:$Q,Y$3)</f>
        <v>0</v>
      </c>
      <c r="Z24" s="10">
        <f>COUNTIFS(Sheet1!$R:$R,$A24,Sheet1!$S:$S,$A$1,Sheet1!$Q:$Q,Z$3)</f>
        <v>0</v>
      </c>
      <c r="AA24" s="10">
        <f>COUNTIFS(Sheet1!$R:$R,$A24,Sheet1!$S:$S,$A$1,Sheet1!$Q:$Q,AA$3)</f>
        <v>0</v>
      </c>
      <c r="AB24" s="8"/>
    </row>
    <row r="25" spans="1:28">
      <c r="A25" s="8" t="s">
        <v>461</v>
      </c>
      <c r="B25" s="10">
        <f>COUNTIFS(Sheet1!$R:$R,$A25,Sheet1!$S:$S,$A$1,Sheet1!$Q:$Q,B$3)</f>
        <v>0</v>
      </c>
      <c r="C25" s="10">
        <f>COUNTIFS(Sheet1!$R:$R,$A25,Sheet1!$S:$S,$A$1,Sheet1!$Q:$Q,C$3)</f>
        <v>0</v>
      </c>
      <c r="D25" s="10">
        <f>COUNTIFS(Sheet1!$R:$R,$A25,Sheet1!$S:$S,$A$1,Sheet1!$Q:$Q,D$3)</f>
        <v>0</v>
      </c>
      <c r="E25" s="10">
        <f>COUNTIFS(Sheet1!$R:$R,$A25,Sheet1!$S:$S,$A$1,Sheet1!$Q:$Q,E$3)</f>
        <v>0</v>
      </c>
      <c r="F25" s="10">
        <f>COUNTIFS(Sheet1!$R:$R,$A25,Sheet1!$S:$S,$A$1,Sheet1!$Q:$Q,F$3)</f>
        <v>0</v>
      </c>
      <c r="G25" s="10">
        <f>COUNTIFS(Sheet1!$R:$R,$A25,Sheet1!$S:$S,$A$1,Sheet1!$Q:$Q,G$3)</f>
        <v>0</v>
      </c>
      <c r="H25" s="10">
        <f>COUNTIFS(Sheet1!$R:$R,$A25,Sheet1!$S:$S,$A$1,Sheet1!$Q:$Q,H$3)</f>
        <v>0</v>
      </c>
      <c r="I25" s="10">
        <f>COUNTIFS(Sheet1!$R:$R,$A25,Sheet1!$S:$S,$A$1,Sheet1!$Q:$Q,I$3)</f>
        <v>0</v>
      </c>
      <c r="J25" s="10">
        <f>COUNTIFS(Sheet1!$R:$R,$A25,Sheet1!$S:$S,$A$1,Sheet1!$Q:$Q,J$3)</f>
        <v>0</v>
      </c>
      <c r="K25" s="10">
        <f>COUNTIFS(Sheet1!$R:$R,$A25,Sheet1!$S:$S,$A$1,Sheet1!$Q:$Q,K$3)</f>
        <v>0</v>
      </c>
      <c r="L25" s="10">
        <f>COUNTIFS(Sheet1!$R:$R,$A25,Sheet1!$S:$S,$A$1,Sheet1!$Q:$Q,L$3)</f>
        <v>0</v>
      </c>
      <c r="M25" s="10">
        <f>COUNTIFS(Sheet1!$R:$R,$A25,Sheet1!$S:$S,$A$1,Sheet1!$Q:$Q,M$3)</f>
        <v>0</v>
      </c>
      <c r="N25" s="10">
        <f>COUNTIFS(Sheet1!$R:$R,$A25,Sheet1!$S:$S,$A$1,Sheet1!$Q:$Q,N$3)</f>
        <v>0</v>
      </c>
      <c r="O25" s="10">
        <f>COUNTIFS(Sheet1!$R:$R,$A25,Sheet1!$S:$S,$A$1,Sheet1!$Q:$Q,O$3)</f>
        <v>0</v>
      </c>
      <c r="P25" s="10">
        <f>COUNTIFS(Sheet1!$R:$R,$A25,Sheet1!$S:$S,$A$1,Sheet1!$Q:$Q,P$3)</f>
        <v>0</v>
      </c>
      <c r="Q25" s="10">
        <f>COUNTIFS(Sheet1!$R:$R,$A25,Sheet1!$S:$S,$A$1,Sheet1!$Q:$Q,Q$3)</f>
        <v>0</v>
      </c>
      <c r="R25" s="10">
        <f>COUNTIFS(Sheet1!$R:$R,$A25,Sheet1!$S:$S,$A$1,Sheet1!$Q:$Q,R$3)</f>
        <v>0</v>
      </c>
      <c r="S25" s="10">
        <f>COUNTIFS(Sheet1!$R:$R,$A25,Sheet1!$S:$S,$A$1,Sheet1!$Q:$Q,S$3)</f>
        <v>0</v>
      </c>
      <c r="T25" s="10">
        <f>COUNTIFS(Sheet1!$R:$R,$A25,Sheet1!$S:$S,$A$1,Sheet1!$Q:$Q,T$3)</f>
        <v>0</v>
      </c>
      <c r="U25" s="10">
        <f>COUNTIFS(Sheet1!$R:$R,$A25,Sheet1!$S:$S,$A$1,Sheet1!$Q:$Q,U$3)</f>
        <v>0</v>
      </c>
      <c r="V25" s="10">
        <f>COUNTIFS(Sheet1!$R:$R,$A25,Sheet1!$S:$S,$A$1,Sheet1!$Q:$Q,V$3)</f>
        <v>0</v>
      </c>
      <c r="W25" s="10">
        <f>COUNTIFS(Sheet1!$R:$R,$A25,Sheet1!$S:$S,$A$1,Sheet1!$Q:$Q,W$3)</f>
        <v>0</v>
      </c>
      <c r="X25" s="10">
        <f>COUNTIFS(Sheet1!$R:$R,$A25,Sheet1!$S:$S,$A$1,Sheet1!$Q:$Q,X$3)</f>
        <v>0</v>
      </c>
      <c r="Y25" s="10">
        <f>COUNTIFS(Sheet1!$R:$R,$A25,Sheet1!$S:$S,$A$1,Sheet1!$Q:$Q,Y$3)</f>
        <v>0</v>
      </c>
      <c r="Z25" s="10">
        <f>COUNTIFS(Sheet1!$R:$R,$A25,Sheet1!$S:$S,$A$1,Sheet1!$Q:$Q,Z$3)</f>
        <v>0</v>
      </c>
      <c r="AA25" s="10">
        <f>COUNTIFS(Sheet1!$R:$R,$A25,Sheet1!$S:$S,$A$1,Sheet1!$Q:$Q,AA$3)</f>
        <v>0</v>
      </c>
      <c r="AB25" s="8"/>
    </row>
    <row r="26" spans="1:28">
      <c r="A26" s="12" t="s">
        <v>433</v>
      </c>
      <c r="B26" s="12" t="s">
        <v>433</v>
      </c>
      <c r="C26" s="12" t="s">
        <v>433</v>
      </c>
      <c r="D26" s="12" t="s">
        <v>433</v>
      </c>
      <c r="E26" s="12" t="s">
        <v>433</v>
      </c>
      <c r="F26" s="12" t="s">
        <v>433</v>
      </c>
      <c r="G26" s="12" t="s">
        <v>433</v>
      </c>
      <c r="H26" s="12" t="s">
        <v>433</v>
      </c>
      <c r="I26" s="12" t="s">
        <v>433</v>
      </c>
      <c r="J26" s="12" t="s">
        <v>433</v>
      </c>
      <c r="K26" s="12" t="s">
        <v>433</v>
      </c>
      <c r="L26" s="12" t="s">
        <v>433</v>
      </c>
      <c r="M26" s="12" t="s">
        <v>433</v>
      </c>
      <c r="N26" s="12" t="s">
        <v>433</v>
      </c>
      <c r="O26" s="12" t="s">
        <v>433</v>
      </c>
      <c r="P26" s="12" t="s">
        <v>433</v>
      </c>
      <c r="Q26" s="12" t="s">
        <v>433</v>
      </c>
      <c r="R26" s="12" t="s">
        <v>433</v>
      </c>
      <c r="S26" s="12" t="s">
        <v>433</v>
      </c>
      <c r="T26" s="12" t="s">
        <v>433</v>
      </c>
      <c r="U26" s="12" t="s">
        <v>433</v>
      </c>
      <c r="V26" s="12" t="s">
        <v>433</v>
      </c>
      <c r="W26" s="12" t="s">
        <v>433</v>
      </c>
      <c r="X26" s="12" t="s">
        <v>433</v>
      </c>
      <c r="Y26" s="12" t="s">
        <v>433</v>
      </c>
      <c r="Z26" s="12" t="s">
        <v>433</v>
      </c>
      <c r="AA26" s="12" t="s">
        <v>433</v>
      </c>
      <c r="AB26" s="6"/>
    </row>
    <row r="27" spans="1:28">
      <c r="A27" s="13" t="s">
        <v>462</v>
      </c>
      <c r="B27" s="14">
        <f>SUM(B4:B26)</f>
        <v>0</v>
      </c>
      <c r="C27" s="14">
        <f t="shared" ref="C27:R27" si="0">SUM(C4:C26)</f>
        <v>0</v>
      </c>
      <c r="D27" s="14">
        <f t="shared" si="0"/>
        <v>0</v>
      </c>
      <c r="E27" s="14">
        <f t="shared" si="0"/>
        <v>0</v>
      </c>
      <c r="F27" s="14">
        <f t="shared" si="0"/>
        <v>0</v>
      </c>
      <c r="G27" s="14">
        <f t="shared" si="0"/>
        <v>0</v>
      </c>
      <c r="H27" s="14">
        <f t="shared" si="0"/>
        <v>0</v>
      </c>
      <c r="I27" s="14">
        <f t="shared" si="0"/>
        <v>0</v>
      </c>
      <c r="J27" s="14">
        <f t="shared" si="0"/>
        <v>0</v>
      </c>
      <c r="K27" s="14">
        <f t="shared" si="0"/>
        <v>0</v>
      </c>
      <c r="L27" s="14">
        <f t="shared" si="0"/>
        <v>12</v>
      </c>
      <c r="M27" s="14">
        <f t="shared" si="0"/>
        <v>0</v>
      </c>
      <c r="N27" s="14">
        <f t="shared" si="0"/>
        <v>15</v>
      </c>
      <c r="O27" s="14">
        <f t="shared" si="0"/>
        <v>0</v>
      </c>
      <c r="P27" s="14">
        <f t="shared" si="0"/>
        <v>1</v>
      </c>
      <c r="Q27" s="14">
        <f t="shared" si="0"/>
        <v>0</v>
      </c>
      <c r="R27" s="14">
        <f t="shared" si="0"/>
        <v>0</v>
      </c>
      <c r="S27" s="14">
        <f>SUM(S4:S26)</f>
        <v>11</v>
      </c>
      <c r="T27" s="14">
        <f t="shared" ref="T27" si="1">SUM(T4:T26)</f>
        <v>0</v>
      </c>
      <c r="U27" s="14">
        <f t="shared" ref="U27" si="2">SUM(U4:U26)</f>
        <v>21</v>
      </c>
      <c r="V27" s="14">
        <f t="shared" ref="V27" si="3">SUM(V4:V26)</f>
        <v>0</v>
      </c>
      <c r="W27" s="14">
        <f t="shared" ref="W27" si="4">SUM(W4:W26)</f>
        <v>0</v>
      </c>
      <c r="X27" s="14">
        <f t="shared" ref="X27" si="5">SUM(X4:X26)</f>
        <v>27</v>
      </c>
      <c r="Y27" s="14">
        <f t="shared" ref="Y27" si="6">SUM(Y4:Y26)</f>
        <v>0</v>
      </c>
      <c r="Z27" s="14">
        <f t="shared" ref="Z27" si="7">SUM(Z4:Z26)</f>
        <v>0</v>
      </c>
      <c r="AA27" s="14">
        <f t="shared" ref="AA27" si="8">SUM(AA4:AA26)</f>
        <v>0</v>
      </c>
      <c r="AB27" s="15">
        <f>SUM(B27:AA27)</f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AC3E1-01CA-41AE-9B75-07245681CC77}">
  <sheetPr>
    <pageSetUpPr fitToPage="1"/>
  </sheetPr>
  <dimension ref="A1:BM52"/>
  <sheetViews>
    <sheetView tabSelected="1" zoomScale="130" zoomScaleNormal="130" workbookViewId="0">
      <selection activeCell="AD7" sqref="AD7"/>
    </sheetView>
  </sheetViews>
  <sheetFormatPr defaultColWidth="9" defaultRowHeight="15.6"/>
  <cols>
    <col min="2" max="3" width="9" hidden="1" customWidth="1"/>
    <col min="4" max="4" width="10.5" bestFit="1" customWidth="1"/>
    <col min="5" max="5" width="13.125" bestFit="1" customWidth="1"/>
    <col min="6" max="6" width="10.375" customWidth="1"/>
    <col min="7" max="7" width="12.875" customWidth="1"/>
    <col min="8" max="8" width="9" hidden="1" customWidth="1"/>
    <col min="10" max="11" width="9" hidden="1" customWidth="1"/>
    <col min="12" max="12" width="12.5" customWidth="1"/>
    <col min="13" max="13" width="10.5" customWidth="1"/>
    <col min="14" max="16" width="9" hidden="1" customWidth="1"/>
    <col min="20" max="29" width="9" hidden="1" customWidth="1"/>
    <col min="30" max="30" width="9" customWidth="1"/>
    <col min="31" max="31" width="9" hidden="1" customWidth="1"/>
    <col min="32" max="32" width="9" bestFit="1" customWidth="1"/>
    <col min="33" max="33" width="0" hidden="1" customWidth="1"/>
    <col min="35" max="36" width="9" hidden="1" customWidth="1"/>
    <col min="38" max="38" width="0" hidden="1" customWidth="1"/>
    <col min="40" max="41" width="0" hidden="1" customWidth="1"/>
    <col min="43" max="45" width="0" hidden="1" customWidth="1"/>
  </cols>
  <sheetData>
    <row r="1" spans="1:65" ht="31.15">
      <c r="A1" s="206" t="s">
        <v>463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7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</row>
    <row r="2" spans="1:65" ht="21">
      <c r="A2" s="207" t="s">
        <v>464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S2" s="16" t="s">
        <v>465</v>
      </c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8" t="s">
        <v>466</v>
      </c>
      <c r="AV2" s="208">
        <v>45626.618055555555</v>
      </c>
      <c r="AW2" s="208"/>
      <c r="AX2" s="208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</row>
    <row r="3" spans="1:65">
      <c r="A3" s="19" t="s">
        <v>467</v>
      </c>
      <c r="B3" s="190" t="s">
        <v>468</v>
      </c>
      <c r="C3" s="191"/>
      <c r="D3" s="191"/>
      <c r="E3" s="192"/>
      <c r="F3" s="20"/>
      <c r="G3" s="187" t="s">
        <v>469</v>
      </c>
      <c r="H3" s="188"/>
      <c r="I3" s="189"/>
      <c r="J3" s="21"/>
      <c r="K3" s="187" t="s">
        <v>470</v>
      </c>
      <c r="L3" s="188"/>
      <c r="M3" s="188"/>
      <c r="N3" s="22"/>
      <c r="O3" s="22"/>
      <c r="P3" s="23"/>
      <c r="Q3" s="24"/>
      <c r="S3" s="25"/>
      <c r="T3" s="25"/>
      <c r="U3" s="25"/>
      <c r="V3" s="25"/>
      <c r="W3" s="25"/>
      <c r="X3" s="25"/>
      <c r="Y3" s="25"/>
      <c r="Z3" s="25"/>
      <c r="AA3" s="25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7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</row>
    <row r="4" spans="1:65">
      <c r="A4" s="26"/>
      <c r="B4" s="27" t="s">
        <v>471</v>
      </c>
      <c r="C4" s="27" t="s">
        <v>471</v>
      </c>
      <c r="D4" s="27" t="s">
        <v>472</v>
      </c>
      <c r="E4" s="27" t="s">
        <v>473</v>
      </c>
      <c r="F4" s="27" t="s">
        <v>474</v>
      </c>
      <c r="G4" s="28" t="s">
        <v>149</v>
      </c>
      <c r="H4" s="29" t="s">
        <v>448</v>
      </c>
      <c r="I4" s="29" t="s">
        <v>76</v>
      </c>
      <c r="J4" s="29" t="s">
        <v>449</v>
      </c>
      <c r="K4" s="28" t="s">
        <v>475</v>
      </c>
      <c r="L4" s="28" t="s">
        <v>77</v>
      </c>
      <c r="M4" s="28" t="s">
        <v>77</v>
      </c>
      <c r="N4" s="28" t="s">
        <v>451</v>
      </c>
      <c r="O4" s="28" t="s">
        <v>452</v>
      </c>
      <c r="P4" s="28" t="s">
        <v>453</v>
      </c>
      <c r="Q4" s="30"/>
      <c r="S4" s="25"/>
      <c r="T4" s="31" t="s">
        <v>476</v>
      </c>
      <c r="U4" s="31" t="s">
        <v>477</v>
      </c>
      <c r="V4" s="31" t="s">
        <v>478</v>
      </c>
      <c r="W4" s="31" t="s">
        <v>479</v>
      </c>
      <c r="X4" s="31" t="s">
        <v>480</v>
      </c>
      <c r="Y4" s="31" t="s">
        <v>481</v>
      </c>
      <c r="Z4" s="31" t="s">
        <v>482</v>
      </c>
      <c r="AA4" s="32" t="s">
        <v>471</v>
      </c>
      <c r="AB4" s="32" t="s">
        <v>483</v>
      </c>
      <c r="AC4" s="32" t="s">
        <v>484</v>
      </c>
      <c r="AD4" s="32" t="s">
        <v>472</v>
      </c>
      <c r="AE4" s="32" t="s">
        <v>485</v>
      </c>
      <c r="AF4" s="32" t="s">
        <v>473</v>
      </c>
      <c r="AG4" s="32" t="s">
        <v>486</v>
      </c>
      <c r="AH4" s="32" t="s">
        <v>474</v>
      </c>
      <c r="AI4" s="32" t="s">
        <v>487</v>
      </c>
      <c r="AJ4" s="32" t="s">
        <v>488</v>
      </c>
      <c r="AK4" s="32" t="s">
        <v>149</v>
      </c>
      <c r="AL4" s="32" t="s">
        <v>448</v>
      </c>
      <c r="AM4" s="32" t="s">
        <v>76</v>
      </c>
      <c r="AN4" s="32" t="s">
        <v>449</v>
      </c>
      <c r="AO4" s="32" t="s">
        <v>475</v>
      </c>
      <c r="AP4" s="32" t="s">
        <v>77</v>
      </c>
      <c r="AQ4" s="32" t="s">
        <v>451</v>
      </c>
      <c r="AR4" s="32" t="s">
        <v>452</v>
      </c>
      <c r="AS4" s="26" t="s">
        <v>453</v>
      </c>
      <c r="AT4" s="17"/>
      <c r="AU4" s="16" t="s">
        <v>489</v>
      </c>
      <c r="AV4" s="17"/>
      <c r="AW4" s="16"/>
      <c r="AX4" s="16"/>
      <c r="AY4" s="33"/>
      <c r="AZ4" s="16"/>
      <c r="BA4" s="16"/>
      <c r="BB4" s="33"/>
      <c r="BC4" s="33"/>
      <c r="BD4" s="33"/>
      <c r="BE4" s="33"/>
      <c r="BF4" s="16"/>
      <c r="BG4" s="16"/>
      <c r="BH4" s="16"/>
      <c r="BI4" s="16"/>
      <c r="BJ4" s="16"/>
      <c r="BK4" s="16"/>
      <c r="BL4" s="16"/>
      <c r="BM4" s="16"/>
    </row>
    <row r="5" spans="1:65">
      <c r="A5" s="34"/>
      <c r="B5" s="35" t="s">
        <v>490</v>
      </c>
      <c r="C5" s="35"/>
      <c r="D5" s="35"/>
      <c r="E5" s="36"/>
      <c r="F5" s="151"/>
      <c r="G5" s="30"/>
      <c r="H5" s="37" t="s">
        <v>491</v>
      </c>
      <c r="I5" s="37"/>
      <c r="J5" s="37"/>
      <c r="K5" s="30" t="s">
        <v>491</v>
      </c>
      <c r="L5" s="30">
        <v>1</v>
      </c>
      <c r="M5" s="30">
        <v>2</v>
      </c>
      <c r="N5" s="30" t="s">
        <v>492</v>
      </c>
      <c r="O5" s="30" t="s">
        <v>492</v>
      </c>
      <c r="P5" s="38" t="s">
        <v>492</v>
      </c>
      <c r="Q5" s="38"/>
      <c r="S5" s="39">
        <f>SUM(T5:AS5)</f>
        <v>87</v>
      </c>
      <c r="T5" s="40">
        <f t="shared" ref="T5:AL5" si="0">SUM(T6:T26)</f>
        <v>0</v>
      </c>
      <c r="U5" s="40">
        <f t="shared" si="0"/>
        <v>0</v>
      </c>
      <c r="V5" s="40">
        <f t="shared" si="0"/>
        <v>0</v>
      </c>
      <c r="W5" s="40">
        <f t="shared" si="0"/>
        <v>0</v>
      </c>
      <c r="X5" s="40">
        <f t="shared" si="0"/>
        <v>0</v>
      </c>
      <c r="Y5" s="40">
        <f t="shared" si="0"/>
        <v>0</v>
      </c>
      <c r="Z5" s="40">
        <f t="shared" si="0"/>
        <v>0</v>
      </c>
      <c r="AA5" s="40">
        <f t="shared" si="0"/>
        <v>0</v>
      </c>
      <c r="AB5" s="40">
        <f t="shared" si="0"/>
        <v>0</v>
      </c>
      <c r="AC5" s="40">
        <f t="shared" si="0"/>
        <v>0</v>
      </c>
      <c r="AD5" s="40">
        <f t="shared" si="0"/>
        <v>12</v>
      </c>
      <c r="AE5" s="40">
        <f t="shared" si="0"/>
        <v>0</v>
      </c>
      <c r="AF5" s="40">
        <f t="shared" si="0"/>
        <v>15</v>
      </c>
      <c r="AG5" s="40">
        <f t="shared" si="0"/>
        <v>0</v>
      </c>
      <c r="AH5" s="40">
        <f t="shared" si="0"/>
        <v>1</v>
      </c>
      <c r="AI5" s="40">
        <f t="shared" si="0"/>
        <v>0</v>
      </c>
      <c r="AJ5" s="40">
        <f t="shared" si="0"/>
        <v>0</v>
      </c>
      <c r="AK5" s="40">
        <f t="shared" si="0"/>
        <v>11</v>
      </c>
      <c r="AL5" s="40">
        <f t="shared" si="0"/>
        <v>0</v>
      </c>
      <c r="AM5" s="40">
        <f>SUM(AM6:AM26)</f>
        <v>21</v>
      </c>
      <c r="AN5" s="40">
        <f t="shared" ref="AN5:AS5" si="1">SUM(AN6:AN26)</f>
        <v>0</v>
      </c>
      <c r="AO5" s="40">
        <f t="shared" si="1"/>
        <v>0</v>
      </c>
      <c r="AP5" s="40">
        <f t="shared" si="1"/>
        <v>27</v>
      </c>
      <c r="AQ5" s="40">
        <f t="shared" si="1"/>
        <v>0</v>
      </c>
      <c r="AR5" s="40">
        <f t="shared" si="1"/>
        <v>0</v>
      </c>
      <c r="AS5" s="40">
        <f t="shared" si="1"/>
        <v>0</v>
      </c>
      <c r="AT5" s="41"/>
      <c r="AU5" s="42" t="s">
        <v>493</v>
      </c>
      <c r="AV5" s="42"/>
      <c r="AW5" s="43"/>
      <c r="AX5" s="44"/>
      <c r="AY5" s="45"/>
      <c r="AZ5" s="43"/>
      <c r="BA5" s="44"/>
      <c r="BB5" s="45"/>
      <c r="BC5" s="45"/>
      <c r="BD5" s="45"/>
      <c r="BE5" s="45"/>
      <c r="BF5" s="16"/>
      <c r="BG5" s="16"/>
      <c r="BH5" s="16" t="s">
        <v>494</v>
      </c>
      <c r="BI5" s="16"/>
      <c r="BJ5" s="16"/>
      <c r="BK5" s="16"/>
      <c r="BL5" s="16"/>
      <c r="BM5" s="16"/>
    </row>
    <row r="6" spans="1:65">
      <c r="A6" s="46">
        <v>0.69791666666666696</v>
      </c>
      <c r="B6" s="193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47"/>
      <c r="O6" s="47"/>
      <c r="P6" s="48"/>
      <c r="Q6" s="46">
        <f t="shared" ref="Q6:Q33" si="2">A6</f>
        <v>0.69791666666666696</v>
      </c>
      <c r="S6" s="49" t="s">
        <v>454</v>
      </c>
      <c r="T6" s="147"/>
      <c r="U6" s="147"/>
      <c r="V6" s="147"/>
      <c r="W6" s="147"/>
      <c r="X6" s="147"/>
      <c r="Y6" s="147"/>
      <c r="Z6" s="147"/>
      <c r="AA6" s="145"/>
      <c r="AB6" s="148"/>
      <c r="AC6" s="148"/>
      <c r="AD6" s="148"/>
      <c r="AE6" s="148"/>
      <c r="AF6" s="148"/>
      <c r="AG6" s="148"/>
      <c r="AH6" s="148"/>
      <c r="AI6" s="148"/>
      <c r="AJ6" s="148"/>
      <c r="AK6" s="149"/>
      <c r="AL6" s="148"/>
      <c r="AM6" s="148"/>
      <c r="AN6" s="148"/>
      <c r="AO6" s="148"/>
      <c r="AP6" s="145"/>
      <c r="AQ6" s="148"/>
      <c r="AR6" s="148"/>
      <c r="AS6" s="150"/>
      <c r="AT6" s="50"/>
      <c r="AU6" s="51"/>
      <c r="AV6" s="52"/>
      <c r="AW6" s="53"/>
      <c r="AX6" s="44"/>
      <c r="AY6" s="45"/>
      <c r="AZ6" s="53"/>
      <c r="BA6" s="44"/>
      <c r="BB6" s="45"/>
      <c r="BC6" s="45"/>
      <c r="BD6" s="45"/>
      <c r="BE6" s="45"/>
      <c r="BF6" s="16"/>
      <c r="BG6" s="16"/>
      <c r="BH6" s="16"/>
      <c r="BI6" s="16"/>
      <c r="BJ6" s="16"/>
      <c r="BK6" s="16"/>
      <c r="BL6" s="16"/>
      <c r="BM6" s="16"/>
    </row>
    <row r="7" spans="1:65">
      <c r="A7" s="54">
        <v>0.70138888888888895</v>
      </c>
      <c r="B7" s="195"/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55"/>
      <c r="O7" s="55"/>
      <c r="P7" s="56"/>
      <c r="Q7" s="54">
        <f t="shared" si="2"/>
        <v>0.70138888888888895</v>
      </c>
      <c r="S7" s="57" t="s">
        <v>495</v>
      </c>
      <c r="T7" s="146">
        <f>Sheet2!B6</f>
        <v>0</v>
      </c>
      <c r="U7" s="146">
        <f>Sheet2!C6</f>
        <v>0</v>
      </c>
      <c r="V7" s="146">
        <f>Sheet2!D6</f>
        <v>0</v>
      </c>
      <c r="W7" s="146">
        <f>Sheet2!E6</f>
        <v>0</v>
      </c>
      <c r="X7" s="146">
        <f>Sheet2!F6</f>
        <v>0</v>
      </c>
      <c r="Y7" s="146">
        <f>Sheet2!G6</f>
        <v>0</v>
      </c>
      <c r="Z7" s="146">
        <f>Sheet2!H6</f>
        <v>0</v>
      </c>
      <c r="AA7" s="146">
        <f>Sheet2!I6</f>
        <v>0</v>
      </c>
      <c r="AB7" s="146">
        <f>Sheet2!J6</f>
        <v>0</v>
      </c>
      <c r="AC7" s="146">
        <f>Sheet2!K6</f>
        <v>0</v>
      </c>
      <c r="AD7" s="146">
        <f>IF(Sheet2!L6=0,"",Sheet2!L6)</f>
        <v>8</v>
      </c>
      <c r="AE7" s="146" t="str">
        <f>IF(Sheet2!M6=0,"",Sheet2!M6)</f>
        <v/>
      </c>
      <c r="AF7" s="146" t="str">
        <f>IF(Sheet2!N6=0,"",Sheet2!N6)</f>
        <v/>
      </c>
      <c r="AG7" s="146" t="str">
        <f>IF(Sheet2!O6=0,"",Sheet2!O6)</f>
        <v/>
      </c>
      <c r="AH7" s="146" t="str">
        <f>IF(Sheet2!P6=0,"",Sheet2!P6)</f>
        <v/>
      </c>
      <c r="AI7" s="146" t="str">
        <f>IF(Sheet2!Q6=0,"",Sheet2!Q6)</f>
        <v/>
      </c>
      <c r="AJ7" s="146" t="str">
        <f>IF(Sheet2!R6=0,"",Sheet2!R6)</f>
        <v/>
      </c>
      <c r="AK7" s="146" t="str">
        <f>IF(Sheet2!S6=0,"",Sheet2!S6)</f>
        <v/>
      </c>
      <c r="AL7" s="146" t="str">
        <f>IF(Sheet2!T6=0,"",Sheet2!T6)</f>
        <v/>
      </c>
      <c r="AM7" s="146">
        <f>IF(Sheet2!U6=0,"",Sheet2!U6)</f>
        <v>9</v>
      </c>
      <c r="AN7" s="146" t="str">
        <f>IF(Sheet2!V6=0,"",Sheet2!V6)</f>
        <v/>
      </c>
      <c r="AO7" s="146" t="str">
        <f>IF(Sheet2!W6=0,"",Sheet2!W6)</f>
        <v/>
      </c>
      <c r="AP7" s="146">
        <f>IF(Sheet2!X6=0,"",Sheet2!X6)</f>
        <v>8</v>
      </c>
      <c r="AQ7" s="146">
        <f>Sheet2!Y6</f>
        <v>0</v>
      </c>
      <c r="AR7" s="146">
        <f>Sheet2!Z6</f>
        <v>0</v>
      </c>
      <c r="AS7" s="146">
        <f>Sheet2!AA6</f>
        <v>0</v>
      </c>
      <c r="AT7" s="50"/>
      <c r="AV7" s="33"/>
      <c r="BF7" s="16"/>
      <c r="BG7" s="58"/>
      <c r="BH7" s="59" t="s">
        <v>496</v>
      </c>
      <c r="BI7" s="16"/>
      <c r="BJ7" s="16"/>
      <c r="BK7" s="16"/>
      <c r="BL7" s="16"/>
      <c r="BM7" s="16"/>
    </row>
    <row r="8" spans="1:65">
      <c r="A8" s="54">
        <v>0.70486111111111105</v>
      </c>
      <c r="B8" s="197"/>
      <c r="C8" s="198"/>
      <c r="D8" s="198"/>
      <c r="E8" s="198"/>
      <c r="F8" s="198"/>
      <c r="G8" s="196"/>
      <c r="H8" s="198"/>
      <c r="I8" s="196"/>
      <c r="J8" s="198"/>
      <c r="K8" s="198"/>
      <c r="L8" s="196"/>
      <c r="M8" s="198"/>
      <c r="N8" s="60"/>
      <c r="O8" s="60"/>
      <c r="P8" s="61"/>
      <c r="Q8" s="54">
        <f t="shared" si="2"/>
        <v>0.70486111111111105</v>
      </c>
      <c r="S8" s="57" t="s">
        <v>497</v>
      </c>
      <c r="T8" s="146">
        <f>Sheet2!B7</f>
        <v>0</v>
      </c>
      <c r="U8" s="146">
        <f>Sheet2!C7</f>
        <v>0</v>
      </c>
      <c r="V8" s="146">
        <f>Sheet2!D7</f>
        <v>0</v>
      </c>
      <c r="W8" s="146">
        <f>Sheet2!E7</f>
        <v>0</v>
      </c>
      <c r="X8" s="146">
        <f>Sheet2!F7</f>
        <v>0</v>
      </c>
      <c r="Y8" s="146">
        <f>Sheet2!G7</f>
        <v>0</v>
      </c>
      <c r="Z8" s="146">
        <f>Sheet2!H7</f>
        <v>0</v>
      </c>
      <c r="AA8" s="146">
        <f>Sheet2!I7</f>
        <v>0</v>
      </c>
      <c r="AB8" s="146">
        <f>Sheet2!J7</f>
        <v>0</v>
      </c>
      <c r="AC8" s="146">
        <f>Sheet2!K7</f>
        <v>0</v>
      </c>
      <c r="AD8" s="146" t="str">
        <f>IF(Sheet2!L7=0,"",Sheet2!L7)</f>
        <v/>
      </c>
      <c r="AE8" s="146" t="str">
        <f>IF(Sheet2!M7=0,"",Sheet2!M7)</f>
        <v/>
      </c>
      <c r="AF8" s="146">
        <f>IF(Sheet2!N7=0,"",Sheet2!N7)</f>
        <v>1</v>
      </c>
      <c r="AG8" s="146" t="str">
        <f>IF(Sheet2!O7=0,"",Sheet2!O7)</f>
        <v/>
      </c>
      <c r="AH8" s="146" t="str">
        <f>IF(Sheet2!P7=0,"",Sheet2!P7)</f>
        <v/>
      </c>
      <c r="AI8" s="146" t="str">
        <f>IF(Sheet2!Q7=0,"",Sheet2!Q7)</f>
        <v/>
      </c>
      <c r="AJ8" s="146" t="str">
        <f>IF(Sheet2!R7=0,"",Sheet2!R7)</f>
        <v/>
      </c>
      <c r="AK8" s="146" t="str">
        <f>IF(Sheet2!S7=0,"",Sheet2!S7)</f>
        <v/>
      </c>
      <c r="AL8" s="146" t="str">
        <f>IF(Sheet2!T7=0,"",Sheet2!T7)</f>
        <v/>
      </c>
      <c r="AM8" s="146">
        <f>IF(Sheet2!U7=0,"",Sheet2!U7)</f>
        <v>1</v>
      </c>
      <c r="AN8" s="146" t="str">
        <f>IF(Sheet2!V7=0,"",Sheet2!V7)</f>
        <v/>
      </c>
      <c r="AO8" s="146" t="str">
        <f>IF(Sheet2!W7=0,"",Sheet2!W7)</f>
        <v/>
      </c>
      <c r="AP8" s="146" t="str">
        <f>IF(Sheet2!X7=0,"",Sheet2!X7)</f>
        <v/>
      </c>
      <c r="AQ8" s="146">
        <f>Sheet2!Y7</f>
        <v>0</v>
      </c>
      <c r="AR8" s="146">
        <f>Sheet2!Z7</f>
        <v>0</v>
      </c>
      <c r="AS8" s="146">
        <f>Sheet2!AA7</f>
        <v>0</v>
      </c>
      <c r="AT8" s="50"/>
      <c r="AU8" s="51"/>
      <c r="AV8" s="33"/>
      <c r="BD8" s="45"/>
      <c r="BE8" s="45"/>
      <c r="BF8" s="58"/>
      <c r="BG8" s="16"/>
      <c r="BH8" s="62"/>
      <c r="BI8" s="16"/>
      <c r="BJ8" s="16"/>
      <c r="BK8" s="16"/>
      <c r="BL8" s="16"/>
      <c r="BM8" s="16"/>
    </row>
    <row r="9" spans="1:65">
      <c r="A9" s="54">
        <v>0.70833333333333304</v>
      </c>
      <c r="B9" s="63"/>
      <c r="C9" s="16"/>
      <c r="D9" s="152" t="s">
        <v>498</v>
      </c>
      <c r="E9" s="153"/>
      <c r="F9" s="74"/>
      <c r="G9" s="160" t="s">
        <v>499</v>
      </c>
      <c r="H9" s="186"/>
      <c r="I9" s="168" t="s">
        <v>500</v>
      </c>
      <c r="J9" s="159"/>
      <c r="K9" s="170"/>
      <c r="L9" s="166" t="s">
        <v>501</v>
      </c>
      <c r="M9" s="153"/>
      <c r="N9" s="138"/>
      <c r="O9" s="65"/>
      <c r="P9" s="66"/>
      <c r="Q9" s="54">
        <f t="shared" si="2"/>
        <v>0.70833333333333304</v>
      </c>
      <c r="S9" s="57" t="s">
        <v>502</v>
      </c>
      <c r="T9" s="146">
        <f>Sheet2!B8</f>
        <v>0</v>
      </c>
      <c r="U9" s="146">
        <f>Sheet2!C8</f>
        <v>0</v>
      </c>
      <c r="V9" s="146">
        <f>Sheet2!D8</f>
        <v>0</v>
      </c>
      <c r="W9" s="146">
        <f>Sheet2!E8</f>
        <v>0</v>
      </c>
      <c r="X9" s="146">
        <f>Sheet2!F8</f>
        <v>0</v>
      </c>
      <c r="Y9" s="146">
        <f>Sheet2!G8</f>
        <v>0</v>
      </c>
      <c r="Z9" s="146">
        <f>Sheet2!H8</f>
        <v>0</v>
      </c>
      <c r="AA9" s="146">
        <f>Sheet2!I8</f>
        <v>0</v>
      </c>
      <c r="AB9" s="146">
        <f>Sheet2!J8</f>
        <v>0</v>
      </c>
      <c r="AC9" s="146">
        <f>Sheet2!K8</f>
        <v>0</v>
      </c>
      <c r="AD9" s="146" t="str">
        <f>IF(Sheet2!L8=0,"",Sheet2!L8)</f>
        <v/>
      </c>
      <c r="AE9" s="146" t="str">
        <f>IF(Sheet2!M8=0,"",Sheet2!M8)</f>
        <v/>
      </c>
      <c r="AF9" s="146">
        <f>IF(Sheet2!N8=0,"",Sheet2!N8)</f>
        <v>1</v>
      </c>
      <c r="AG9" s="146" t="str">
        <f>IF(Sheet2!O8=0,"",Sheet2!O8)</f>
        <v/>
      </c>
      <c r="AH9" s="146" t="str">
        <f>IF(Sheet2!P8=0,"",Sheet2!P8)</f>
        <v/>
      </c>
      <c r="AI9" s="146" t="str">
        <f>IF(Sheet2!Q8=0,"",Sheet2!Q8)</f>
        <v/>
      </c>
      <c r="AJ9" s="146" t="str">
        <f>IF(Sheet2!R8=0,"",Sheet2!R8)</f>
        <v/>
      </c>
      <c r="AK9" s="146" t="str">
        <f>IF(Sheet2!S8=0,"",Sheet2!S8)</f>
        <v/>
      </c>
      <c r="AL9" s="146" t="str">
        <f>IF(Sheet2!T8=0,"",Sheet2!T8)</f>
        <v/>
      </c>
      <c r="AM9" s="146">
        <f>IF(Sheet2!U8=0,"",Sheet2!U8)</f>
        <v>1</v>
      </c>
      <c r="AN9" s="146" t="str">
        <f>IF(Sheet2!V8=0,"",Sheet2!V8)</f>
        <v/>
      </c>
      <c r="AO9" s="146" t="str">
        <f>IF(Sheet2!W8=0,"",Sheet2!W8)</f>
        <v/>
      </c>
      <c r="AP9" s="146" t="str">
        <f>IF(Sheet2!X8=0,"",Sheet2!X8)</f>
        <v/>
      </c>
      <c r="AQ9" s="146">
        <f>Sheet2!Y8</f>
        <v>0</v>
      </c>
      <c r="AR9" s="146">
        <f>Sheet2!Z8</f>
        <v>0</v>
      </c>
      <c r="AS9" s="146">
        <f>Sheet2!AA8</f>
        <v>0</v>
      </c>
      <c r="AT9" s="50"/>
      <c r="AU9" s="53"/>
      <c r="AV9" s="33"/>
      <c r="BD9" s="45"/>
      <c r="BE9" s="45"/>
      <c r="BF9" s="16"/>
      <c r="BG9" s="16"/>
      <c r="BH9" s="62" t="s">
        <v>503</v>
      </c>
      <c r="BI9" s="16"/>
      <c r="BJ9" s="16"/>
      <c r="BK9" s="16"/>
      <c r="BL9" s="16"/>
      <c r="BM9" s="16"/>
    </row>
    <row r="10" spans="1:65">
      <c r="A10" s="54">
        <v>0.71180555555555602</v>
      </c>
      <c r="B10" s="63"/>
      <c r="C10" s="139"/>
      <c r="D10" s="152" t="s">
        <v>504</v>
      </c>
      <c r="E10" s="153"/>
      <c r="F10" s="153"/>
      <c r="G10" s="176" t="s">
        <v>505</v>
      </c>
      <c r="H10" s="155"/>
      <c r="I10" s="175" t="s">
        <v>506</v>
      </c>
      <c r="J10" s="153"/>
      <c r="K10" s="155"/>
      <c r="L10" s="167" t="s">
        <v>507</v>
      </c>
      <c r="M10" s="153"/>
      <c r="N10" s="138"/>
      <c r="O10" s="65"/>
      <c r="P10" s="66"/>
      <c r="Q10" s="54">
        <f t="shared" si="2"/>
        <v>0.71180555555555602</v>
      </c>
      <c r="S10" s="57" t="s">
        <v>508</v>
      </c>
      <c r="T10" s="146">
        <f>Sheet2!B9</f>
        <v>0</v>
      </c>
      <c r="U10" s="146">
        <f>Sheet2!C9</f>
        <v>0</v>
      </c>
      <c r="V10" s="146">
        <f>Sheet2!D9</f>
        <v>0</v>
      </c>
      <c r="W10" s="146">
        <f>Sheet2!E9</f>
        <v>0</v>
      </c>
      <c r="X10" s="146">
        <f>Sheet2!F9</f>
        <v>0</v>
      </c>
      <c r="Y10" s="146">
        <f>Sheet2!G9</f>
        <v>0</v>
      </c>
      <c r="Z10" s="146">
        <f>Sheet2!H9</f>
        <v>0</v>
      </c>
      <c r="AA10" s="146">
        <f>Sheet2!I9</f>
        <v>0</v>
      </c>
      <c r="AB10" s="146">
        <f>Sheet2!J9</f>
        <v>0</v>
      </c>
      <c r="AC10" s="146">
        <f>Sheet2!K9</f>
        <v>0</v>
      </c>
      <c r="AD10" s="146" t="str">
        <f>IF(Sheet2!L9=0,"",Sheet2!L9)</f>
        <v/>
      </c>
      <c r="AE10" s="146" t="str">
        <f>IF(Sheet2!M9=0,"",Sheet2!M9)</f>
        <v/>
      </c>
      <c r="AF10" s="146" t="str">
        <f>IF(Sheet2!N9=0,"",Sheet2!N9)</f>
        <v/>
      </c>
      <c r="AG10" s="146" t="str">
        <f>IF(Sheet2!O9=0,"",Sheet2!O9)</f>
        <v/>
      </c>
      <c r="AH10" s="146" t="str">
        <f>IF(Sheet2!P9=0,"",Sheet2!P9)</f>
        <v/>
      </c>
      <c r="AI10" s="146" t="str">
        <f>IF(Sheet2!Q9=0,"",Sheet2!Q9)</f>
        <v/>
      </c>
      <c r="AJ10" s="146" t="str">
        <f>IF(Sheet2!R9=0,"",Sheet2!R9)</f>
        <v/>
      </c>
      <c r="AK10" s="146" t="str">
        <f>IF(Sheet2!S9=0,"",Sheet2!S9)</f>
        <v/>
      </c>
      <c r="AL10" s="146" t="str">
        <f>IF(Sheet2!T9=0,"",Sheet2!T9)</f>
        <v/>
      </c>
      <c r="AM10" s="146" t="str">
        <f>IF(Sheet2!U9=0,"",Sheet2!U9)</f>
        <v/>
      </c>
      <c r="AN10" s="146" t="str">
        <f>IF(Sheet2!V9=0,"",Sheet2!V9)</f>
        <v/>
      </c>
      <c r="AO10" s="146" t="str">
        <f>IF(Sheet2!W9=0,"",Sheet2!W9)</f>
        <v/>
      </c>
      <c r="AP10" s="146" t="str">
        <f>IF(Sheet2!X9=0,"",Sheet2!X9)</f>
        <v/>
      </c>
      <c r="AQ10" s="146">
        <f>Sheet2!Y9</f>
        <v>0</v>
      </c>
      <c r="AR10" s="146">
        <f>Sheet2!Z9</f>
        <v>0</v>
      </c>
      <c r="AS10" s="146">
        <f>Sheet2!AA9</f>
        <v>0</v>
      </c>
      <c r="AT10" s="50"/>
      <c r="AU10" s="70"/>
      <c r="AV10" s="33"/>
      <c r="BD10" s="45"/>
      <c r="BE10" s="45"/>
      <c r="BF10" s="16"/>
      <c r="BG10" s="16"/>
      <c r="BH10" s="16"/>
      <c r="BI10" s="16"/>
      <c r="BJ10" s="16"/>
      <c r="BK10" s="16"/>
      <c r="BL10" s="16"/>
      <c r="BM10" s="16"/>
    </row>
    <row r="11" spans="1:65">
      <c r="A11" s="54">
        <v>0.71527777777777779</v>
      </c>
      <c r="B11" s="63"/>
      <c r="C11" s="140"/>
      <c r="D11" s="153"/>
      <c r="E11" s="99" t="s">
        <v>509</v>
      </c>
      <c r="F11" s="153"/>
      <c r="G11" s="178" t="s">
        <v>510</v>
      </c>
      <c r="H11" s="155"/>
      <c r="I11" s="169"/>
      <c r="J11" s="153"/>
      <c r="K11" s="155"/>
      <c r="L11" s="167" t="s">
        <v>505</v>
      </c>
      <c r="M11" s="153"/>
      <c r="N11" s="67"/>
      <c r="O11" s="65"/>
      <c r="P11" s="66"/>
      <c r="Q11" s="54">
        <f t="shared" si="2"/>
        <v>0.71527777777777779</v>
      </c>
      <c r="S11" s="57" t="s">
        <v>511</v>
      </c>
      <c r="T11" s="146">
        <f>Sheet2!B10</f>
        <v>0</v>
      </c>
      <c r="U11" s="146">
        <f>Sheet2!C10</f>
        <v>0</v>
      </c>
      <c r="V11" s="146">
        <f>Sheet2!D10</f>
        <v>0</v>
      </c>
      <c r="W11" s="146">
        <f>Sheet2!E10</f>
        <v>0</v>
      </c>
      <c r="X11" s="146">
        <f>Sheet2!F10</f>
        <v>0</v>
      </c>
      <c r="Y11" s="146">
        <f>Sheet2!G10</f>
        <v>0</v>
      </c>
      <c r="Z11" s="146">
        <f>Sheet2!H10</f>
        <v>0</v>
      </c>
      <c r="AA11" s="146">
        <f>Sheet2!I10</f>
        <v>0</v>
      </c>
      <c r="AB11" s="146">
        <f>Sheet2!J10</f>
        <v>0</v>
      </c>
      <c r="AC11" s="146">
        <f>Sheet2!K10</f>
        <v>0</v>
      </c>
      <c r="AD11" s="146" t="str">
        <f>IF(Sheet2!L10=0,"",Sheet2!L10)</f>
        <v/>
      </c>
      <c r="AE11" s="146" t="str">
        <f>IF(Sheet2!M10=0,"",Sheet2!M10)</f>
        <v/>
      </c>
      <c r="AF11" s="146">
        <f>IF(Sheet2!N10=0,"",Sheet2!N10)</f>
        <v>2</v>
      </c>
      <c r="AG11" s="146" t="str">
        <f>IF(Sheet2!O10=0,"",Sheet2!O10)</f>
        <v/>
      </c>
      <c r="AH11" s="146" t="str">
        <f>IF(Sheet2!P10=0,"",Sheet2!P10)</f>
        <v/>
      </c>
      <c r="AI11" s="146" t="str">
        <f>IF(Sheet2!Q10=0,"",Sheet2!Q10)</f>
        <v/>
      </c>
      <c r="AJ11" s="146" t="str">
        <f>IF(Sheet2!R10=0,"",Sheet2!R10)</f>
        <v/>
      </c>
      <c r="AK11" s="146">
        <f>IF(Sheet2!S10=0,"",Sheet2!S10)</f>
        <v>1</v>
      </c>
      <c r="AL11" s="146" t="str">
        <f>IF(Sheet2!T10=0,"",Sheet2!T10)</f>
        <v/>
      </c>
      <c r="AM11" s="146" t="str">
        <f>IF(Sheet2!U10=0,"",Sheet2!U10)</f>
        <v/>
      </c>
      <c r="AN11" s="146" t="str">
        <f>IF(Sheet2!V10=0,"",Sheet2!V10)</f>
        <v/>
      </c>
      <c r="AO11" s="146" t="str">
        <f>IF(Sheet2!W10=0,"",Sheet2!W10)</f>
        <v/>
      </c>
      <c r="AP11" s="146">
        <f>IF(Sheet2!X10=0,"",Sheet2!X10)</f>
        <v>1</v>
      </c>
      <c r="AQ11" s="146">
        <f>Sheet2!Y10</f>
        <v>0</v>
      </c>
      <c r="AR11" s="146">
        <f>Sheet2!Z10</f>
        <v>0</v>
      </c>
      <c r="AS11" s="146">
        <f>Sheet2!AA10</f>
        <v>0</v>
      </c>
      <c r="AT11" s="50"/>
      <c r="AU11" s="71"/>
      <c r="AV11" s="33"/>
      <c r="BD11" s="45"/>
      <c r="BE11" s="45"/>
      <c r="BF11" s="16"/>
      <c r="BG11" s="16"/>
      <c r="BH11" s="59" t="s">
        <v>512</v>
      </c>
      <c r="BI11" s="16"/>
      <c r="BJ11" s="16"/>
      <c r="BK11" s="16"/>
      <c r="BL11" s="16"/>
      <c r="BM11" s="16"/>
    </row>
    <row r="12" spans="1:65">
      <c r="A12" s="54">
        <v>0.71875</v>
      </c>
      <c r="B12" s="63"/>
      <c r="C12" s="16"/>
      <c r="D12" s="153"/>
      <c r="E12" s="99">
        <v>3</v>
      </c>
      <c r="F12" s="153"/>
      <c r="G12" s="179" t="s">
        <v>513</v>
      </c>
      <c r="H12" s="155"/>
      <c r="I12" s="157" t="s">
        <v>496</v>
      </c>
      <c r="J12" s="153"/>
      <c r="K12" s="155"/>
      <c r="L12" s="167"/>
      <c r="M12" s="153"/>
      <c r="N12" s="67"/>
      <c r="O12" s="65"/>
      <c r="P12" s="66"/>
      <c r="Q12" s="54">
        <f t="shared" si="2"/>
        <v>0.71875</v>
      </c>
      <c r="S12" s="57" t="s">
        <v>514</v>
      </c>
      <c r="T12" s="146">
        <f>Sheet2!B11</f>
        <v>0</v>
      </c>
      <c r="U12" s="146">
        <f>Sheet2!C11</f>
        <v>0</v>
      </c>
      <c r="V12" s="146">
        <f>Sheet2!D11</f>
        <v>0</v>
      </c>
      <c r="W12" s="146">
        <f>Sheet2!E11</f>
        <v>0</v>
      </c>
      <c r="X12" s="146">
        <f>Sheet2!F11</f>
        <v>0</v>
      </c>
      <c r="Y12" s="146">
        <f>Sheet2!G11</f>
        <v>0</v>
      </c>
      <c r="Z12" s="146">
        <f>Sheet2!H11</f>
        <v>0</v>
      </c>
      <c r="AA12" s="146">
        <f>Sheet2!I11</f>
        <v>0</v>
      </c>
      <c r="AB12" s="146">
        <f>Sheet2!J11</f>
        <v>0</v>
      </c>
      <c r="AC12" s="146">
        <f>Sheet2!K11</f>
        <v>0</v>
      </c>
      <c r="AD12" s="146" t="str">
        <f>IF(Sheet2!L11=0,"",Sheet2!L11)</f>
        <v/>
      </c>
      <c r="AE12" s="146" t="str">
        <f>IF(Sheet2!M11=0,"",Sheet2!M11)</f>
        <v/>
      </c>
      <c r="AF12" s="146" t="str">
        <f>IF(Sheet2!N11=0,"",Sheet2!N11)</f>
        <v/>
      </c>
      <c r="AG12" s="146" t="str">
        <f>IF(Sheet2!O11=0,"",Sheet2!O11)</f>
        <v/>
      </c>
      <c r="AH12" s="146" t="str">
        <f>IF(Sheet2!P11=0,"",Sheet2!P11)</f>
        <v/>
      </c>
      <c r="AI12" s="146" t="str">
        <f>IF(Sheet2!Q11=0,"",Sheet2!Q11)</f>
        <v/>
      </c>
      <c r="AJ12" s="146" t="str">
        <f>IF(Sheet2!R11=0,"",Sheet2!R11)</f>
        <v/>
      </c>
      <c r="AK12" s="146">
        <f>IF(Sheet2!S11=0,"",Sheet2!S11)</f>
        <v>1</v>
      </c>
      <c r="AL12" s="146" t="str">
        <f>IF(Sheet2!T11=0,"",Sheet2!T11)</f>
        <v/>
      </c>
      <c r="AM12" s="146" t="str">
        <f>IF(Sheet2!U11=0,"",Sheet2!U11)</f>
        <v/>
      </c>
      <c r="AN12" s="146" t="str">
        <f>IF(Sheet2!V11=0,"",Sheet2!V11)</f>
        <v/>
      </c>
      <c r="AO12" s="146" t="str">
        <f>IF(Sheet2!W11=0,"",Sheet2!W11)</f>
        <v/>
      </c>
      <c r="AP12" s="146" t="str">
        <f>IF(Sheet2!X11=0,"",Sheet2!X11)</f>
        <v/>
      </c>
      <c r="AQ12" s="146">
        <f>Sheet2!Y11</f>
        <v>0</v>
      </c>
      <c r="AR12" s="146">
        <f>Sheet2!Z11</f>
        <v>0</v>
      </c>
      <c r="AS12" s="146">
        <f>Sheet2!AA11</f>
        <v>0</v>
      </c>
      <c r="AT12" s="50"/>
      <c r="AU12" s="51"/>
      <c r="AV12" s="33"/>
      <c r="BD12" s="45"/>
      <c r="BE12" s="45"/>
      <c r="BF12" s="16"/>
      <c r="BG12" s="16"/>
      <c r="BH12" s="62"/>
      <c r="BI12" s="16"/>
      <c r="BJ12" s="16"/>
      <c r="BK12" s="16"/>
      <c r="BL12" s="16"/>
      <c r="BM12" s="16"/>
    </row>
    <row r="13" spans="1:65">
      <c r="A13" s="54">
        <v>0.72222222222222199</v>
      </c>
      <c r="B13" s="63"/>
      <c r="C13" s="141"/>
      <c r="D13" s="153"/>
      <c r="E13" s="162" t="s">
        <v>515</v>
      </c>
      <c r="F13" s="153"/>
      <c r="G13" s="180" t="s">
        <v>505</v>
      </c>
      <c r="H13" s="155"/>
      <c r="I13" s="157">
        <v>9</v>
      </c>
      <c r="J13" s="153"/>
      <c r="K13" s="155"/>
      <c r="L13" s="174"/>
      <c r="M13" s="153"/>
      <c r="N13" s="67"/>
      <c r="O13" s="65"/>
      <c r="P13" s="66"/>
      <c r="Q13" s="54">
        <f t="shared" si="2"/>
        <v>0.72222222222222199</v>
      </c>
      <c r="S13" s="57" t="s">
        <v>516</v>
      </c>
      <c r="T13" s="146">
        <f>Sheet2!B12</f>
        <v>0</v>
      </c>
      <c r="U13" s="146">
        <f>Sheet2!C12</f>
        <v>0</v>
      </c>
      <c r="V13" s="146">
        <f>Sheet2!D12</f>
        <v>0</v>
      </c>
      <c r="W13" s="146">
        <f>Sheet2!E12</f>
        <v>0</v>
      </c>
      <c r="X13" s="146">
        <f>Sheet2!F12</f>
        <v>0</v>
      </c>
      <c r="Y13" s="146">
        <f>Sheet2!G12</f>
        <v>0</v>
      </c>
      <c r="Z13" s="146">
        <f>Sheet2!H12</f>
        <v>0</v>
      </c>
      <c r="AA13" s="146">
        <f>Sheet2!I12</f>
        <v>0</v>
      </c>
      <c r="AB13" s="146">
        <f>Sheet2!J12</f>
        <v>0</v>
      </c>
      <c r="AC13" s="146">
        <f>Sheet2!K12</f>
        <v>0</v>
      </c>
      <c r="AD13" s="146" t="str">
        <f>IF(Sheet2!L12=0,"",Sheet2!L12)</f>
        <v/>
      </c>
      <c r="AE13" s="146" t="str">
        <f>IF(Sheet2!M12=0,"",Sheet2!M12)</f>
        <v/>
      </c>
      <c r="AF13" s="146">
        <f>IF(Sheet2!N12=0,"",Sheet2!N12)</f>
        <v>3</v>
      </c>
      <c r="AG13" s="146" t="str">
        <f>IF(Sheet2!O12=0,"",Sheet2!O12)</f>
        <v/>
      </c>
      <c r="AH13" s="146" t="str">
        <f>IF(Sheet2!P12=0,"",Sheet2!P12)</f>
        <v/>
      </c>
      <c r="AI13" s="146" t="str">
        <f>IF(Sheet2!Q12=0,"",Sheet2!Q12)</f>
        <v/>
      </c>
      <c r="AJ13" s="146" t="str">
        <f>IF(Sheet2!R12=0,"",Sheet2!R12)</f>
        <v/>
      </c>
      <c r="AK13" s="146">
        <f>IF(Sheet2!S12=0,"",Sheet2!S12)</f>
        <v>3</v>
      </c>
      <c r="AL13" s="146" t="str">
        <f>IF(Sheet2!T12=0,"",Sheet2!T12)</f>
        <v/>
      </c>
      <c r="AM13" s="146" t="str">
        <f>IF(Sheet2!U12=0,"",Sheet2!U12)</f>
        <v/>
      </c>
      <c r="AN13" s="146" t="str">
        <f>IF(Sheet2!V12=0,"",Sheet2!V12)</f>
        <v/>
      </c>
      <c r="AO13" s="146" t="str">
        <f>IF(Sheet2!W12=0,"",Sheet2!W12)</f>
        <v/>
      </c>
      <c r="AP13" s="146">
        <f>IF(Sheet2!X12=0,"",Sheet2!X12)</f>
        <v>2</v>
      </c>
      <c r="AQ13" s="146">
        <f>Sheet2!Y12</f>
        <v>0</v>
      </c>
      <c r="AR13" s="146">
        <f>Sheet2!Z12</f>
        <v>0</v>
      </c>
      <c r="AS13" s="146">
        <f>Sheet2!AA12</f>
        <v>0</v>
      </c>
      <c r="AT13" s="50"/>
      <c r="AU13" s="51"/>
      <c r="AV13" s="33"/>
      <c r="BD13" s="45"/>
      <c r="BE13" s="45"/>
      <c r="BF13" s="16"/>
      <c r="BG13" s="16"/>
      <c r="BH13" s="62" t="s">
        <v>503</v>
      </c>
      <c r="BI13" s="16"/>
      <c r="BL13" s="16"/>
      <c r="BM13" s="16"/>
    </row>
    <row r="14" spans="1:65">
      <c r="A14" s="54">
        <v>0.72569444444444497</v>
      </c>
      <c r="B14" s="63"/>
      <c r="C14" s="67"/>
      <c r="D14" s="153"/>
      <c r="E14" s="163">
        <v>1</v>
      </c>
      <c r="F14" s="153"/>
      <c r="G14" s="182" t="s">
        <v>517</v>
      </c>
      <c r="H14" s="155"/>
      <c r="I14" s="157"/>
      <c r="J14" s="153"/>
      <c r="K14" s="155"/>
      <c r="L14" s="157" t="s">
        <v>518</v>
      </c>
      <c r="M14" s="153"/>
      <c r="N14" s="67"/>
      <c r="O14" s="65"/>
      <c r="P14" s="66"/>
      <c r="Q14" s="54">
        <f t="shared" si="2"/>
        <v>0.72569444444444497</v>
      </c>
      <c r="S14" s="57" t="s">
        <v>519</v>
      </c>
      <c r="T14" s="146">
        <f>Sheet2!B13</f>
        <v>0</v>
      </c>
      <c r="U14" s="146">
        <f>Sheet2!C13</f>
        <v>0</v>
      </c>
      <c r="V14" s="146">
        <f>Sheet2!D13</f>
        <v>0</v>
      </c>
      <c r="W14" s="146">
        <f>Sheet2!E13</f>
        <v>0</v>
      </c>
      <c r="X14" s="146">
        <f>Sheet2!F13</f>
        <v>0</v>
      </c>
      <c r="Y14" s="146">
        <f>Sheet2!G13</f>
        <v>0</v>
      </c>
      <c r="Z14" s="146">
        <f>Sheet2!H13</f>
        <v>0</v>
      </c>
      <c r="AA14" s="146">
        <f>Sheet2!I13</f>
        <v>0</v>
      </c>
      <c r="AB14" s="146">
        <f>Sheet2!J13</f>
        <v>0</v>
      </c>
      <c r="AC14" s="146">
        <f>Sheet2!K13</f>
        <v>0</v>
      </c>
      <c r="AD14" s="146" t="str">
        <f>IF(Sheet2!L13=0,"",Sheet2!L13)</f>
        <v/>
      </c>
      <c r="AE14" s="146" t="str">
        <f>IF(Sheet2!M13=0,"",Sheet2!M13)</f>
        <v/>
      </c>
      <c r="AF14" s="146" t="str">
        <f>IF(Sheet2!N13=0,"",Sheet2!N13)</f>
        <v/>
      </c>
      <c r="AG14" s="146" t="str">
        <f>IF(Sheet2!O13=0,"",Sheet2!O13)</f>
        <v/>
      </c>
      <c r="AH14" s="146" t="str">
        <f>IF(Sheet2!P13=0,"",Sheet2!P13)</f>
        <v/>
      </c>
      <c r="AI14" s="146" t="str">
        <f>IF(Sheet2!Q13=0,"",Sheet2!Q13)</f>
        <v/>
      </c>
      <c r="AJ14" s="146" t="str">
        <f>IF(Sheet2!R13=0,"",Sheet2!R13)</f>
        <v/>
      </c>
      <c r="AK14" s="146" t="str">
        <f>IF(Sheet2!S13=0,"",Sheet2!S13)</f>
        <v/>
      </c>
      <c r="AL14" s="146" t="str">
        <f>IF(Sheet2!T13=0,"",Sheet2!T13)</f>
        <v/>
      </c>
      <c r="AM14" s="146" t="str">
        <f>IF(Sheet2!U13=0,"",Sheet2!U13)</f>
        <v/>
      </c>
      <c r="AN14" s="146" t="str">
        <f>IF(Sheet2!V13=0,"",Sheet2!V13)</f>
        <v/>
      </c>
      <c r="AO14" s="146" t="str">
        <f>IF(Sheet2!W13=0,"",Sheet2!W13)</f>
        <v/>
      </c>
      <c r="AP14" s="146" t="str">
        <f>IF(Sheet2!X13=0,"",Sheet2!X13)</f>
        <v/>
      </c>
      <c r="AQ14" s="146">
        <f>Sheet2!Y13</f>
        <v>0</v>
      </c>
      <c r="AR14" s="146">
        <f>Sheet2!Z13</f>
        <v>0</v>
      </c>
      <c r="AS14" s="146">
        <f>Sheet2!AA13</f>
        <v>0</v>
      </c>
      <c r="AT14" s="50"/>
      <c r="AU14" s="51"/>
      <c r="AV14" s="33"/>
      <c r="AY14" s="45"/>
      <c r="BB14" s="45"/>
      <c r="BC14" s="45"/>
      <c r="BF14" s="16"/>
      <c r="BG14" s="16"/>
      <c r="BH14" s="74"/>
      <c r="BI14" s="16"/>
      <c r="BL14" s="16"/>
      <c r="BM14" s="16"/>
    </row>
    <row r="15" spans="1:65">
      <c r="A15" s="54">
        <v>0.72916666666666696</v>
      </c>
      <c r="B15" s="63"/>
      <c r="C15" s="67"/>
      <c r="D15" s="153"/>
      <c r="E15" s="168" t="s">
        <v>500</v>
      </c>
      <c r="F15" s="153"/>
      <c r="G15" s="182" t="s">
        <v>520</v>
      </c>
      <c r="H15" s="155"/>
      <c r="I15" s="157"/>
      <c r="J15" s="153"/>
      <c r="K15" s="155"/>
      <c r="L15" s="157">
        <v>4</v>
      </c>
      <c r="M15" s="153"/>
      <c r="N15" s="138"/>
      <c r="O15" s="65"/>
      <c r="P15" s="66"/>
      <c r="Q15" s="54">
        <f t="shared" si="2"/>
        <v>0.72916666666666696</v>
      </c>
      <c r="S15" s="57" t="s">
        <v>521</v>
      </c>
      <c r="T15" s="146">
        <f>Sheet2!B14</f>
        <v>0</v>
      </c>
      <c r="U15" s="146">
        <f>Sheet2!C14</f>
        <v>0</v>
      </c>
      <c r="V15" s="146">
        <f>Sheet2!D14</f>
        <v>0</v>
      </c>
      <c r="W15" s="146">
        <f>Sheet2!E14</f>
        <v>0</v>
      </c>
      <c r="X15" s="146">
        <f>Sheet2!F14</f>
        <v>0</v>
      </c>
      <c r="Y15" s="146">
        <f>Sheet2!G14</f>
        <v>0</v>
      </c>
      <c r="Z15" s="146">
        <f>Sheet2!H14</f>
        <v>0</v>
      </c>
      <c r="AA15" s="146">
        <f>Sheet2!I14</f>
        <v>0</v>
      </c>
      <c r="AB15" s="146">
        <f>Sheet2!J14</f>
        <v>0</v>
      </c>
      <c r="AC15" s="146">
        <f>Sheet2!K14</f>
        <v>0</v>
      </c>
      <c r="AD15" s="146" t="str">
        <f>IF(Sheet2!L14=0,"",Sheet2!L14)</f>
        <v/>
      </c>
      <c r="AE15" s="146" t="str">
        <f>IF(Sheet2!M14=0,"",Sheet2!M14)</f>
        <v/>
      </c>
      <c r="AF15" s="146" t="str">
        <f>IF(Sheet2!N14=0,"",Sheet2!N14)</f>
        <v/>
      </c>
      <c r="AG15" s="146" t="str">
        <f>IF(Sheet2!O14=0,"",Sheet2!O14)</f>
        <v/>
      </c>
      <c r="AH15" s="146" t="str">
        <f>IF(Sheet2!P14=0,"",Sheet2!P14)</f>
        <v/>
      </c>
      <c r="AI15" s="146" t="str">
        <f>IF(Sheet2!Q14=0,"",Sheet2!Q14)</f>
        <v/>
      </c>
      <c r="AJ15" s="146" t="str">
        <f>IF(Sheet2!R14=0,"",Sheet2!R14)</f>
        <v/>
      </c>
      <c r="AK15" s="146" t="str">
        <f>IF(Sheet2!S14=0,"",Sheet2!S14)</f>
        <v/>
      </c>
      <c r="AL15" s="146" t="str">
        <f>IF(Sheet2!T14=0,"",Sheet2!T14)</f>
        <v/>
      </c>
      <c r="AM15" s="146" t="str">
        <f>IF(Sheet2!U14=0,"",Sheet2!U14)</f>
        <v/>
      </c>
      <c r="AN15" s="146" t="str">
        <f>IF(Sheet2!V14=0,"",Sheet2!V14)</f>
        <v/>
      </c>
      <c r="AO15" s="146" t="str">
        <f>IF(Sheet2!W14=0,"",Sheet2!W14)</f>
        <v/>
      </c>
      <c r="AP15" s="146" t="str">
        <f>IF(Sheet2!X14=0,"",Sheet2!X14)</f>
        <v/>
      </c>
      <c r="AQ15" s="146">
        <f>Sheet2!Y14</f>
        <v>0</v>
      </c>
      <c r="AR15" s="146">
        <f>Sheet2!Z14</f>
        <v>0</v>
      </c>
      <c r="AS15" s="146">
        <f>Sheet2!AA14</f>
        <v>0</v>
      </c>
      <c r="AT15" s="75"/>
      <c r="AU15" s="51"/>
      <c r="AV15" s="33"/>
      <c r="AY15" s="45"/>
      <c r="BB15" s="45"/>
      <c r="BC15" s="45"/>
      <c r="BF15" s="16"/>
      <c r="BG15" s="16"/>
      <c r="BH15" s="76" t="s">
        <v>500</v>
      </c>
      <c r="BI15" s="16"/>
      <c r="BL15" s="16"/>
      <c r="BM15" s="16"/>
    </row>
    <row r="16" spans="1:65">
      <c r="A16" s="54">
        <v>0.73263888888888895</v>
      </c>
      <c r="B16" s="63"/>
      <c r="C16" s="142"/>
      <c r="D16" s="153"/>
      <c r="E16" s="175" t="s">
        <v>522</v>
      </c>
      <c r="F16" s="153"/>
      <c r="G16" s="182" t="s">
        <v>523</v>
      </c>
      <c r="H16" s="155"/>
      <c r="I16" s="157"/>
      <c r="J16" s="153"/>
      <c r="K16" s="153"/>
      <c r="L16" s="157" t="s">
        <v>503</v>
      </c>
      <c r="M16" s="153"/>
      <c r="N16" s="138"/>
      <c r="O16" s="65"/>
      <c r="P16" s="66"/>
      <c r="Q16" s="54">
        <f t="shared" si="2"/>
        <v>0.73263888888888895</v>
      </c>
      <c r="S16" s="57" t="s">
        <v>524</v>
      </c>
      <c r="T16" s="146">
        <f>Sheet2!B15</f>
        <v>0</v>
      </c>
      <c r="U16" s="146">
        <f>Sheet2!C15</f>
        <v>0</v>
      </c>
      <c r="V16" s="146">
        <f>Sheet2!D15</f>
        <v>0</v>
      </c>
      <c r="W16" s="146">
        <f>Sheet2!E15</f>
        <v>0</v>
      </c>
      <c r="X16" s="146">
        <f>Sheet2!F15</f>
        <v>0</v>
      </c>
      <c r="Y16" s="146">
        <f>Sheet2!G15</f>
        <v>0</v>
      </c>
      <c r="Z16" s="146">
        <f>Sheet2!H15</f>
        <v>0</v>
      </c>
      <c r="AA16" s="146">
        <f>Sheet2!I15</f>
        <v>0</v>
      </c>
      <c r="AB16" s="146">
        <f>Sheet2!J15</f>
        <v>0</v>
      </c>
      <c r="AC16" s="146">
        <f>Sheet2!K15</f>
        <v>0</v>
      </c>
      <c r="AD16" s="146">
        <f>IF(Sheet2!L15=0,"",Sheet2!L15)</f>
        <v>4</v>
      </c>
      <c r="AE16" s="146" t="str">
        <f>IF(Sheet2!M15=0,"",Sheet2!M15)</f>
        <v/>
      </c>
      <c r="AF16" s="146" t="str">
        <f>IF(Sheet2!N15=0,"",Sheet2!N15)</f>
        <v/>
      </c>
      <c r="AG16" s="146" t="str">
        <f>IF(Sheet2!O15=0,"",Sheet2!O15)</f>
        <v/>
      </c>
      <c r="AH16" s="146" t="str">
        <f>IF(Sheet2!P15=0,"",Sheet2!P15)</f>
        <v/>
      </c>
      <c r="AI16" s="146" t="str">
        <f>IF(Sheet2!Q15=0,"",Sheet2!Q15)</f>
        <v/>
      </c>
      <c r="AJ16" s="146" t="str">
        <f>IF(Sheet2!R15=0,"",Sheet2!R15)</f>
        <v/>
      </c>
      <c r="AK16" s="146" t="str">
        <f>IF(Sheet2!S15=0,"",Sheet2!S15)</f>
        <v/>
      </c>
      <c r="AL16" s="146" t="str">
        <f>IF(Sheet2!T15=0,"",Sheet2!T15)</f>
        <v/>
      </c>
      <c r="AM16" s="146">
        <f>IF(Sheet2!U15=0,"",Sheet2!U15)</f>
        <v>4</v>
      </c>
      <c r="AN16" s="146" t="str">
        <f>IF(Sheet2!V15=0,"",Sheet2!V15)</f>
        <v/>
      </c>
      <c r="AO16" s="146" t="str">
        <f>IF(Sheet2!W15=0,"",Sheet2!W15)</f>
        <v/>
      </c>
      <c r="AP16" s="146">
        <f>IF(Sheet2!X15=0,"",Sheet2!X15)</f>
        <v>4</v>
      </c>
      <c r="AQ16" s="146">
        <f>Sheet2!Y15</f>
        <v>0</v>
      </c>
      <c r="AR16" s="146">
        <f>Sheet2!Z15</f>
        <v>0</v>
      </c>
      <c r="AS16" s="146">
        <f>Sheet2!AA15</f>
        <v>0</v>
      </c>
      <c r="AT16" s="75"/>
      <c r="AU16" s="77"/>
      <c r="AV16" s="33"/>
      <c r="BF16" s="16"/>
      <c r="BG16" s="16"/>
      <c r="BH16" s="78" t="s">
        <v>503</v>
      </c>
      <c r="BI16" s="16"/>
      <c r="BL16" s="16"/>
      <c r="BM16" s="16"/>
    </row>
    <row r="17" spans="1:65">
      <c r="A17" s="54">
        <v>0.73611111111111205</v>
      </c>
      <c r="B17" s="63"/>
      <c r="C17" s="140"/>
      <c r="D17" s="153"/>
      <c r="E17" s="160" t="s">
        <v>525</v>
      </c>
      <c r="F17" s="153"/>
      <c r="G17" s="182" t="s">
        <v>526</v>
      </c>
      <c r="H17" s="155"/>
      <c r="I17" s="157"/>
      <c r="J17" s="153"/>
      <c r="K17" s="153"/>
      <c r="L17" s="158"/>
      <c r="M17" s="153"/>
      <c r="N17" s="138"/>
      <c r="O17" s="65"/>
      <c r="P17" s="66"/>
      <c r="Q17" s="54">
        <f t="shared" si="2"/>
        <v>0.73611111111111205</v>
      </c>
      <c r="S17" s="57" t="s">
        <v>527</v>
      </c>
      <c r="T17" s="146">
        <f>Sheet2!B16</f>
        <v>0</v>
      </c>
      <c r="U17" s="146">
        <f>Sheet2!C16</f>
        <v>0</v>
      </c>
      <c r="V17" s="146">
        <f>Sheet2!D16</f>
        <v>0</v>
      </c>
      <c r="W17" s="146">
        <f>Sheet2!E16</f>
        <v>0</v>
      </c>
      <c r="X17" s="146">
        <f>Sheet2!F16</f>
        <v>0</v>
      </c>
      <c r="Y17" s="146">
        <f>Sheet2!G16</f>
        <v>0</v>
      </c>
      <c r="Z17" s="146">
        <f>Sheet2!H16</f>
        <v>0</v>
      </c>
      <c r="AA17" s="146">
        <f>Sheet2!I16</f>
        <v>0</v>
      </c>
      <c r="AB17" s="146">
        <f>Sheet2!J16</f>
        <v>0</v>
      </c>
      <c r="AC17" s="146">
        <f>Sheet2!K16</f>
        <v>0</v>
      </c>
      <c r="AD17" s="146" t="str">
        <f>IF(Sheet2!L16=0,"",Sheet2!L16)</f>
        <v/>
      </c>
      <c r="AE17" s="146" t="str">
        <f>IF(Sheet2!M16=0,"",Sheet2!M16)</f>
        <v/>
      </c>
      <c r="AF17" s="146">
        <f>IF(Sheet2!N16=0,"",Sheet2!N16)</f>
        <v>5</v>
      </c>
      <c r="AG17" s="146" t="str">
        <f>IF(Sheet2!O16=0,"",Sheet2!O16)</f>
        <v/>
      </c>
      <c r="AH17" s="146" t="str">
        <f>IF(Sheet2!P16=0,"",Sheet2!P16)</f>
        <v/>
      </c>
      <c r="AI17" s="146" t="str">
        <f>IF(Sheet2!Q16=0,"",Sheet2!Q16)</f>
        <v/>
      </c>
      <c r="AJ17" s="146" t="str">
        <f>IF(Sheet2!R16=0,"",Sheet2!R16)</f>
        <v/>
      </c>
      <c r="AK17" s="146" t="str">
        <f>IF(Sheet2!S16=0,"",Sheet2!S16)</f>
        <v/>
      </c>
      <c r="AL17" s="146" t="str">
        <f>IF(Sheet2!T16=0,"",Sheet2!T16)</f>
        <v/>
      </c>
      <c r="AM17" s="146">
        <f>IF(Sheet2!U16=0,"",Sheet2!U16)</f>
        <v>5</v>
      </c>
      <c r="AN17" s="146" t="str">
        <f>IF(Sheet2!V16=0,"",Sheet2!V16)</f>
        <v/>
      </c>
      <c r="AO17" s="146" t="str">
        <f>IF(Sheet2!W16=0,"",Sheet2!W16)</f>
        <v/>
      </c>
      <c r="AP17" s="146">
        <f>IF(Sheet2!X16=0,"",Sheet2!X16)</f>
        <v>5</v>
      </c>
      <c r="AQ17" s="146">
        <f>Sheet2!Y16</f>
        <v>0</v>
      </c>
      <c r="AR17" s="146">
        <f>Sheet2!Z16</f>
        <v>0</v>
      </c>
      <c r="AS17" s="146">
        <f>Sheet2!AA16</f>
        <v>0</v>
      </c>
      <c r="AT17" s="75"/>
      <c r="AU17" s="51"/>
      <c r="AV17" s="52"/>
      <c r="AW17" s="33"/>
      <c r="AY17" s="45"/>
      <c r="AZ17" s="33"/>
      <c r="BB17" s="45"/>
      <c r="BC17" s="45"/>
      <c r="BF17" s="16"/>
      <c r="BG17" s="16"/>
      <c r="BI17" s="16"/>
      <c r="BL17" s="16"/>
      <c r="BM17" s="16"/>
    </row>
    <row r="18" spans="1:65">
      <c r="A18" s="54">
        <v>0.73958333333333404</v>
      </c>
      <c r="B18" s="63"/>
      <c r="C18" s="140"/>
      <c r="D18" s="153"/>
      <c r="E18" s="176" t="s">
        <v>522</v>
      </c>
      <c r="F18" s="153"/>
      <c r="G18" s="182"/>
      <c r="H18" s="155"/>
      <c r="I18" s="158"/>
      <c r="J18" s="153"/>
      <c r="K18" s="155"/>
      <c r="L18" s="153"/>
      <c r="M18" s="153"/>
      <c r="N18" s="67"/>
      <c r="O18" s="65"/>
      <c r="P18" s="66"/>
      <c r="Q18" s="54">
        <f t="shared" si="2"/>
        <v>0.73958333333333404</v>
      </c>
      <c r="S18" s="57" t="s">
        <v>528</v>
      </c>
      <c r="T18" s="146">
        <f>Sheet2!B17</f>
        <v>0</v>
      </c>
      <c r="U18" s="146">
        <f>Sheet2!C17</f>
        <v>0</v>
      </c>
      <c r="V18" s="146">
        <f>Sheet2!D17</f>
        <v>0</v>
      </c>
      <c r="W18" s="146">
        <f>Sheet2!E17</f>
        <v>0</v>
      </c>
      <c r="X18" s="146">
        <f>Sheet2!F17</f>
        <v>0</v>
      </c>
      <c r="Y18" s="146">
        <f>Sheet2!G17</f>
        <v>0</v>
      </c>
      <c r="Z18" s="146">
        <f>Sheet2!H17</f>
        <v>0</v>
      </c>
      <c r="AA18" s="146">
        <f>Sheet2!I17</f>
        <v>0</v>
      </c>
      <c r="AB18" s="146">
        <f>Sheet2!J17</f>
        <v>0</v>
      </c>
      <c r="AC18" s="146">
        <f>Sheet2!K17</f>
        <v>0</v>
      </c>
      <c r="AD18" s="146" t="str">
        <f>IF(Sheet2!L17=0,"",Sheet2!L17)</f>
        <v/>
      </c>
      <c r="AE18" s="146" t="str">
        <f>IF(Sheet2!M17=0,"",Sheet2!M17)</f>
        <v/>
      </c>
      <c r="AF18" s="146" t="str">
        <f>IF(Sheet2!N17=0,"",Sheet2!N17)</f>
        <v/>
      </c>
      <c r="AG18" s="146" t="str">
        <f>IF(Sheet2!O17=0,"",Sheet2!O17)</f>
        <v/>
      </c>
      <c r="AH18" s="146" t="str">
        <f>IF(Sheet2!P17=0,"",Sheet2!P17)</f>
        <v/>
      </c>
      <c r="AI18" s="146" t="str">
        <f>IF(Sheet2!Q17=0,"",Sheet2!Q17)</f>
        <v/>
      </c>
      <c r="AJ18" s="146" t="str">
        <f>IF(Sheet2!R17=0,"",Sheet2!R17)</f>
        <v/>
      </c>
      <c r="AK18" s="146" t="str">
        <f>IF(Sheet2!S17=0,"",Sheet2!S17)</f>
        <v/>
      </c>
      <c r="AL18" s="146" t="str">
        <f>IF(Sheet2!T17=0,"",Sheet2!T17)</f>
        <v/>
      </c>
      <c r="AM18" s="146">
        <f>IF(Sheet2!U17=0,"",Sheet2!U17)</f>
        <v>1</v>
      </c>
      <c r="AN18" s="146" t="str">
        <f>IF(Sheet2!V17=0,"",Sheet2!V17)</f>
        <v/>
      </c>
      <c r="AO18" s="146" t="str">
        <f>IF(Sheet2!W17=0,"",Sheet2!W17)</f>
        <v/>
      </c>
      <c r="AP18" s="146">
        <f>IF(Sheet2!X17=0,"",Sheet2!X17)</f>
        <v>1</v>
      </c>
      <c r="AQ18" s="146">
        <f>Sheet2!Y17</f>
        <v>0</v>
      </c>
      <c r="AR18" s="146">
        <f>Sheet2!Z17</f>
        <v>0</v>
      </c>
      <c r="AS18" s="146">
        <f>Sheet2!AA17</f>
        <v>0</v>
      </c>
      <c r="AT18" s="75"/>
      <c r="AU18" s="51"/>
      <c r="AV18" s="52"/>
      <c r="AW18" s="33"/>
      <c r="AY18" s="45"/>
      <c r="AZ18" s="33"/>
      <c r="BB18" s="45"/>
      <c r="BC18" s="45"/>
      <c r="BF18" s="16"/>
      <c r="BG18" s="16"/>
      <c r="BH18" s="79" t="s">
        <v>529</v>
      </c>
      <c r="BI18" s="16"/>
      <c r="BL18" s="16"/>
      <c r="BM18" s="16"/>
    </row>
    <row r="19" spans="1:65">
      <c r="A19" s="54">
        <v>0.74305555555555602</v>
      </c>
      <c r="B19" s="63"/>
      <c r="C19" s="142"/>
      <c r="D19" s="153"/>
      <c r="E19" s="166" t="s">
        <v>530</v>
      </c>
      <c r="F19" s="153"/>
      <c r="G19" s="182"/>
      <c r="H19" s="155"/>
      <c r="I19" s="156" t="s">
        <v>512</v>
      </c>
      <c r="J19" s="153"/>
      <c r="K19" s="155"/>
      <c r="L19" s="153"/>
      <c r="M19" s="153"/>
      <c r="N19" s="67"/>
      <c r="O19" s="65"/>
      <c r="P19" s="66"/>
      <c r="Q19" s="54">
        <f t="shared" si="2"/>
        <v>0.74305555555555602</v>
      </c>
      <c r="S19" s="57" t="s">
        <v>531</v>
      </c>
      <c r="T19" s="146">
        <f>Sheet2!B18</f>
        <v>0</v>
      </c>
      <c r="U19" s="146">
        <f>Sheet2!C18</f>
        <v>0</v>
      </c>
      <c r="V19" s="146">
        <f>Sheet2!D18</f>
        <v>0</v>
      </c>
      <c r="W19" s="146">
        <f>Sheet2!E18</f>
        <v>0</v>
      </c>
      <c r="X19" s="146">
        <f>Sheet2!F18</f>
        <v>0</v>
      </c>
      <c r="Y19" s="146">
        <f>Sheet2!G18</f>
        <v>0</v>
      </c>
      <c r="Z19" s="146">
        <f>Sheet2!H18</f>
        <v>0</v>
      </c>
      <c r="AA19" s="146">
        <f>Sheet2!I18</f>
        <v>0</v>
      </c>
      <c r="AB19" s="146">
        <f>Sheet2!J18</f>
        <v>0</v>
      </c>
      <c r="AC19" s="146">
        <f>Sheet2!K18</f>
        <v>0</v>
      </c>
      <c r="AD19" s="146" t="str">
        <f>IF(Sheet2!L18=0,"",Sheet2!L18)</f>
        <v/>
      </c>
      <c r="AE19" s="146" t="str">
        <f>IF(Sheet2!M18=0,"",Sheet2!M18)</f>
        <v/>
      </c>
      <c r="AF19" s="146">
        <f>IF(Sheet2!N18=0,"",Sheet2!N18)</f>
        <v>1</v>
      </c>
      <c r="AG19" s="146" t="str">
        <f>IF(Sheet2!O18=0,"",Sheet2!O18)</f>
        <v/>
      </c>
      <c r="AH19" s="146">
        <f>IF(Sheet2!P18=0,"",Sheet2!P18)</f>
        <v>1</v>
      </c>
      <c r="AI19" s="146" t="str">
        <f>IF(Sheet2!Q18=0,"",Sheet2!Q18)</f>
        <v/>
      </c>
      <c r="AJ19" s="146" t="str">
        <f>IF(Sheet2!R18=0,"",Sheet2!R18)</f>
        <v/>
      </c>
      <c r="AK19" s="146">
        <f>IF(Sheet2!S18=0,"",Sheet2!S18)</f>
        <v>2</v>
      </c>
      <c r="AL19" s="146" t="str">
        <f>IF(Sheet2!T18=0,"",Sheet2!T18)</f>
        <v/>
      </c>
      <c r="AM19" s="146" t="str">
        <f>IF(Sheet2!U18=0,"",Sheet2!U18)</f>
        <v/>
      </c>
      <c r="AN19" s="146" t="str">
        <f>IF(Sheet2!V18=0,"",Sheet2!V18)</f>
        <v/>
      </c>
      <c r="AO19" s="146" t="str">
        <f>IF(Sheet2!W18=0,"",Sheet2!W18)</f>
        <v/>
      </c>
      <c r="AP19" s="146">
        <f>IF(Sheet2!X18=0,"",Sheet2!X18)</f>
        <v>3</v>
      </c>
      <c r="AQ19" s="146">
        <f>Sheet2!Y18</f>
        <v>0</v>
      </c>
      <c r="AR19" s="146">
        <f>Sheet2!Z18</f>
        <v>0</v>
      </c>
      <c r="AS19" s="146">
        <f>Sheet2!AA18</f>
        <v>0</v>
      </c>
      <c r="AT19" s="50"/>
      <c r="AU19" s="74"/>
      <c r="AV19" s="33"/>
      <c r="AW19" s="33"/>
      <c r="AY19" s="45"/>
      <c r="AZ19" s="33"/>
      <c r="BB19" s="45"/>
      <c r="BC19" s="45"/>
      <c r="BF19" s="16"/>
      <c r="BG19" s="16"/>
      <c r="BH19" s="80"/>
      <c r="BI19" s="16"/>
      <c r="BL19" s="16"/>
      <c r="BM19" s="16"/>
    </row>
    <row r="20" spans="1:65">
      <c r="A20" s="54">
        <v>0.74652777777777901</v>
      </c>
      <c r="B20" s="63"/>
      <c r="C20" s="16"/>
      <c r="D20" s="153"/>
      <c r="E20" s="167">
        <v>5</v>
      </c>
      <c r="F20" s="153"/>
      <c r="G20" s="182"/>
      <c r="H20" s="155"/>
      <c r="I20" s="157">
        <v>4</v>
      </c>
      <c r="J20" s="153"/>
      <c r="K20" s="155"/>
      <c r="L20" s="153"/>
      <c r="M20" s="153"/>
      <c r="N20" s="67"/>
      <c r="O20" s="65"/>
      <c r="P20" s="66"/>
      <c r="Q20" s="54">
        <f t="shared" si="2"/>
        <v>0.74652777777777901</v>
      </c>
      <c r="S20" s="57" t="s">
        <v>532</v>
      </c>
      <c r="T20" s="146">
        <f>Sheet2!B19</f>
        <v>0</v>
      </c>
      <c r="U20" s="146">
        <f>Sheet2!C19</f>
        <v>0</v>
      </c>
      <c r="V20" s="146">
        <f>Sheet2!D19</f>
        <v>0</v>
      </c>
      <c r="W20" s="146">
        <f>Sheet2!E19</f>
        <v>0</v>
      </c>
      <c r="X20" s="146">
        <f>Sheet2!F19</f>
        <v>0</v>
      </c>
      <c r="Y20" s="146">
        <f>Sheet2!G19</f>
        <v>0</v>
      </c>
      <c r="Z20" s="146">
        <f>Sheet2!H19</f>
        <v>0</v>
      </c>
      <c r="AA20" s="146">
        <f>Sheet2!I19</f>
        <v>0</v>
      </c>
      <c r="AB20" s="146">
        <f>Sheet2!J19</f>
        <v>0</v>
      </c>
      <c r="AC20" s="146">
        <f>Sheet2!K19</f>
        <v>0</v>
      </c>
      <c r="AD20" s="146" t="str">
        <f>IF(Sheet2!L19=0,"",Sheet2!L19)</f>
        <v/>
      </c>
      <c r="AE20" s="146" t="str">
        <f>IF(Sheet2!M19=0,"",Sheet2!M19)</f>
        <v/>
      </c>
      <c r="AF20" s="146">
        <f>IF(Sheet2!N19=0,"",Sheet2!N19)</f>
        <v>1</v>
      </c>
      <c r="AG20" s="146" t="str">
        <f>IF(Sheet2!O19=0,"",Sheet2!O19)</f>
        <v/>
      </c>
      <c r="AH20" s="146" t="str">
        <f>IF(Sheet2!P19=0,"",Sheet2!P19)</f>
        <v/>
      </c>
      <c r="AI20" s="146" t="str">
        <f>IF(Sheet2!Q19=0,"",Sheet2!Q19)</f>
        <v/>
      </c>
      <c r="AJ20" s="146" t="str">
        <f>IF(Sheet2!R19=0,"",Sheet2!R19)</f>
        <v/>
      </c>
      <c r="AK20" s="146">
        <f>IF(Sheet2!S19=0,"",Sheet2!S19)</f>
        <v>2</v>
      </c>
      <c r="AL20" s="146" t="str">
        <f>IF(Sheet2!T19=0,"",Sheet2!T19)</f>
        <v/>
      </c>
      <c r="AM20" s="146" t="str">
        <f>IF(Sheet2!U19=0,"",Sheet2!U19)</f>
        <v/>
      </c>
      <c r="AN20" s="146" t="str">
        <f>IF(Sheet2!V19=0,"",Sheet2!V19)</f>
        <v/>
      </c>
      <c r="AO20" s="146" t="str">
        <f>IF(Sheet2!W19=0,"",Sheet2!W19)</f>
        <v/>
      </c>
      <c r="AP20" s="146">
        <f>IF(Sheet2!X19=0,"",Sheet2!X19)</f>
        <v>2</v>
      </c>
      <c r="AQ20" s="146">
        <f>Sheet2!Y19</f>
        <v>0</v>
      </c>
      <c r="AR20" s="146">
        <f>Sheet2!Z19</f>
        <v>0</v>
      </c>
      <c r="AS20" s="146">
        <f>Sheet2!AA19</f>
        <v>0</v>
      </c>
      <c r="AT20" s="50"/>
      <c r="AU20" s="51"/>
      <c r="AV20" s="52"/>
      <c r="AW20" s="33"/>
      <c r="AZ20" s="33"/>
      <c r="BF20" s="16"/>
      <c r="BH20" s="81" t="s">
        <v>503</v>
      </c>
      <c r="BI20" s="16"/>
      <c r="BL20" s="16"/>
      <c r="BM20" s="16"/>
    </row>
    <row r="21" spans="1:65">
      <c r="A21" s="54">
        <v>0.750000000000001</v>
      </c>
      <c r="B21" s="63"/>
      <c r="C21" s="139"/>
      <c r="D21" s="153"/>
      <c r="E21" s="164" t="s">
        <v>533</v>
      </c>
      <c r="F21" s="153"/>
      <c r="G21" s="182"/>
      <c r="H21" s="155"/>
      <c r="I21" s="157"/>
      <c r="J21" s="153"/>
      <c r="K21" s="155"/>
      <c r="L21" s="153"/>
      <c r="N21" s="67"/>
      <c r="O21" s="65"/>
      <c r="P21" s="66"/>
      <c r="Q21" s="54">
        <f t="shared" si="2"/>
        <v>0.750000000000001</v>
      </c>
      <c r="S21" s="57" t="s">
        <v>534</v>
      </c>
      <c r="T21" s="146">
        <f>Sheet2!B20</f>
        <v>0</v>
      </c>
      <c r="U21" s="146">
        <f>Sheet2!C20</f>
        <v>0</v>
      </c>
      <c r="V21" s="146">
        <f>Sheet2!D20</f>
        <v>0</v>
      </c>
      <c r="W21" s="146">
        <f>Sheet2!E20</f>
        <v>0</v>
      </c>
      <c r="X21" s="146">
        <f>Sheet2!F20</f>
        <v>0</v>
      </c>
      <c r="Y21" s="146">
        <f>Sheet2!G20</f>
        <v>0</v>
      </c>
      <c r="Z21" s="146">
        <f>Sheet2!H20</f>
        <v>0</v>
      </c>
      <c r="AA21" s="146">
        <f>Sheet2!I20</f>
        <v>0</v>
      </c>
      <c r="AB21" s="146">
        <f>Sheet2!J20</f>
        <v>0</v>
      </c>
      <c r="AC21" s="146">
        <f>Sheet2!K20</f>
        <v>0</v>
      </c>
      <c r="AD21" s="146" t="str">
        <f>IF(Sheet2!L20=0,"",Sheet2!L20)</f>
        <v/>
      </c>
      <c r="AE21" s="146" t="str">
        <f>IF(Sheet2!M20=0,"",Sheet2!M20)</f>
        <v/>
      </c>
      <c r="AF21" s="146" t="str">
        <f>IF(Sheet2!N20=0,"",Sheet2!N20)</f>
        <v/>
      </c>
      <c r="AG21" s="146" t="str">
        <f>IF(Sheet2!O20=0,"",Sheet2!O20)</f>
        <v/>
      </c>
      <c r="AH21" s="146" t="str">
        <f>IF(Sheet2!P20=0,"",Sheet2!P20)</f>
        <v/>
      </c>
      <c r="AI21" s="146" t="str">
        <f>IF(Sheet2!Q20=0,"",Sheet2!Q20)</f>
        <v/>
      </c>
      <c r="AJ21" s="146" t="str">
        <f>IF(Sheet2!R20=0,"",Sheet2!R20)</f>
        <v/>
      </c>
      <c r="AK21" s="146" t="str">
        <f>IF(Sheet2!S20=0,"",Sheet2!S20)</f>
        <v/>
      </c>
      <c r="AL21" s="146" t="str">
        <f>IF(Sheet2!T20=0,"",Sheet2!T20)</f>
        <v/>
      </c>
      <c r="AM21" s="146" t="str">
        <f>IF(Sheet2!U20=0,"",Sheet2!U20)</f>
        <v/>
      </c>
      <c r="AN21" s="146" t="str">
        <f>IF(Sheet2!V20=0,"",Sheet2!V20)</f>
        <v/>
      </c>
      <c r="AO21" s="146" t="str">
        <f>IF(Sheet2!W20=0,"",Sheet2!W20)</f>
        <v/>
      </c>
      <c r="AP21" s="146" t="str">
        <f>IF(Sheet2!X20=0,"",Sheet2!X20)</f>
        <v/>
      </c>
      <c r="AQ21" s="146">
        <f>Sheet2!Y20</f>
        <v>0</v>
      </c>
      <c r="AR21" s="146">
        <f>Sheet2!Z20</f>
        <v>0</v>
      </c>
      <c r="AS21" s="146">
        <f>Sheet2!AA20</f>
        <v>0</v>
      </c>
      <c r="AT21" s="50"/>
      <c r="AU21" s="51"/>
      <c r="AV21" s="52"/>
      <c r="AW21" s="33"/>
      <c r="AZ21" s="33"/>
      <c r="BH21" s="16"/>
      <c r="BI21" s="16"/>
      <c r="BL21" s="16"/>
      <c r="BM21" s="16"/>
    </row>
    <row r="22" spans="1:65">
      <c r="A22" s="54">
        <v>0.75347222222222299</v>
      </c>
      <c r="B22" s="63"/>
      <c r="C22" s="143"/>
      <c r="D22" s="153"/>
      <c r="E22" s="165">
        <v>2</v>
      </c>
      <c r="F22" s="153"/>
      <c r="G22" s="154"/>
      <c r="H22" s="155"/>
      <c r="I22" s="166" t="s">
        <v>535</v>
      </c>
      <c r="J22" s="153"/>
      <c r="K22" s="155"/>
      <c r="L22" s="153"/>
      <c r="M22" s="156" t="s">
        <v>536</v>
      </c>
      <c r="N22" s="67"/>
      <c r="O22" s="65"/>
      <c r="P22" s="66"/>
      <c r="Q22" s="54">
        <f t="shared" si="2"/>
        <v>0.75347222222222299</v>
      </c>
      <c r="S22" s="57" t="s">
        <v>537</v>
      </c>
      <c r="T22" s="146">
        <f>Sheet2!B21</f>
        <v>0</v>
      </c>
      <c r="U22" s="146">
        <f>Sheet2!C21</f>
        <v>0</v>
      </c>
      <c r="V22" s="146">
        <f>Sheet2!D21</f>
        <v>0</v>
      </c>
      <c r="W22" s="146">
        <f>Sheet2!E21</f>
        <v>0</v>
      </c>
      <c r="X22" s="146">
        <f>Sheet2!F21</f>
        <v>0</v>
      </c>
      <c r="Y22" s="146">
        <f>Sheet2!G21</f>
        <v>0</v>
      </c>
      <c r="Z22" s="146">
        <f>Sheet2!H21</f>
        <v>0</v>
      </c>
      <c r="AA22" s="146">
        <f>Sheet2!I21</f>
        <v>0</v>
      </c>
      <c r="AB22" s="146">
        <f>Sheet2!J21</f>
        <v>0</v>
      </c>
      <c r="AC22" s="146">
        <f>Sheet2!K21</f>
        <v>0</v>
      </c>
      <c r="AD22" s="146" t="str">
        <f>IF(Sheet2!L21=0,"",Sheet2!L21)</f>
        <v/>
      </c>
      <c r="AE22" s="146" t="str">
        <f>IF(Sheet2!M21=0,"",Sheet2!M21)</f>
        <v/>
      </c>
      <c r="AF22" s="146">
        <f>IF(Sheet2!N21=0,"",Sheet2!N21)</f>
        <v>1</v>
      </c>
      <c r="AG22" s="146" t="str">
        <f>IF(Sheet2!O21=0,"",Sheet2!O21)</f>
        <v/>
      </c>
      <c r="AH22" s="146" t="str">
        <f>IF(Sheet2!P21=0,"",Sheet2!P21)</f>
        <v/>
      </c>
      <c r="AI22" s="146" t="str">
        <f>IF(Sheet2!Q21=0,"",Sheet2!Q21)</f>
        <v/>
      </c>
      <c r="AJ22" s="146" t="str">
        <f>IF(Sheet2!R21=0,"",Sheet2!R21)</f>
        <v/>
      </c>
      <c r="AK22" s="146">
        <f>IF(Sheet2!S21=0,"",Sheet2!S21)</f>
        <v>1</v>
      </c>
      <c r="AL22" s="146" t="str">
        <f>IF(Sheet2!T21=0,"",Sheet2!T21)</f>
        <v/>
      </c>
      <c r="AM22" s="146" t="str">
        <f>IF(Sheet2!U21=0,"",Sheet2!U21)</f>
        <v/>
      </c>
      <c r="AN22" s="146" t="str">
        <f>IF(Sheet2!V21=0,"",Sheet2!V21)</f>
        <v/>
      </c>
      <c r="AO22" s="146" t="str">
        <f>IF(Sheet2!W21=0,"",Sheet2!W21)</f>
        <v/>
      </c>
      <c r="AP22" s="146" t="str">
        <f>IF(Sheet2!X21=0,"",Sheet2!X21)</f>
        <v/>
      </c>
      <c r="AQ22" s="146">
        <f>Sheet2!Y21</f>
        <v>0</v>
      </c>
      <c r="AR22" s="146">
        <f>Sheet2!Z21</f>
        <v>0</v>
      </c>
      <c r="AS22" s="146">
        <f>Sheet2!AA21</f>
        <v>0</v>
      </c>
      <c r="AT22" s="50"/>
      <c r="AU22" s="53"/>
      <c r="AV22" s="52"/>
      <c r="AW22" s="44"/>
      <c r="AZ22" s="44"/>
      <c r="BG22" s="16"/>
      <c r="BH22" s="72" t="s">
        <v>501</v>
      </c>
      <c r="BL22" s="16"/>
      <c r="BM22" s="16"/>
    </row>
    <row r="23" spans="1:65">
      <c r="A23" s="54">
        <v>0.75694444444444597</v>
      </c>
      <c r="B23" s="63"/>
      <c r="C23" s="140"/>
      <c r="D23" s="153"/>
      <c r="F23" s="160" t="s">
        <v>538</v>
      </c>
      <c r="G23" s="153"/>
      <c r="H23" s="155"/>
      <c r="I23" s="167" t="s">
        <v>507</v>
      </c>
      <c r="J23" s="153"/>
      <c r="K23" s="155"/>
      <c r="L23" s="181" t="s">
        <v>539</v>
      </c>
      <c r="M23" s="157">
        <v>8</v>
      </c>
      <c r="N23" s="67"/>
      <c r="O23" s="65"/>
      <c r="P23" s="66"/>
      <c r="Q23" s="54">
        <f t="shared" si="2"/>
        <v>0.75694444444444597</v>
      </c>
      <c r="S23" s="57" t="s">
        <v>540</v>
      </c>
      <c r="T23" s="146">
        <f>Sheet2!B22</f>
        <v>0</v>
      </c>
      <c r="U23" s="146">
        <f>Sheet2!C22</f>
        <v>0</v>
      </c>
      <c r="V23" s="146">
        <f>Sheet2!D22</f>
        <v>0</v>
      </c>
      <c r="W23" s="146">
        <f>Sheet2!E22</f>
        <v>0</v>
      </c>
      <c r="X23" s="146">
        <f>Sheet2!F22</f>
        <v>0</v>
      </c>
      <c r="Y23" s="146">
        <f>Sheet2!G22</f>
        <v>0</v>
      </c>
      <c r="Z23" s="146">
        <f>Sheet2!H22</f>
        <v>0</v>
      </c>
      <c r="AA23" s="146">
        <f>Sheet2!I22</f>
        <v>0</v>
      </c>
      <c r="AB23" s="146">
        <f>Sheet2!J22</f>
        <v>0</v>
      </c>
      <c r="AC23" s="146">
        <f>Sheet2!K22</f>
        <v>0</v>
      </c>
      <c r="AD23" s="146" t="str">
        <f>IF(Sheet2!L22=0,"",Sheet2!L22)</f>
        <v/>
      </c>
      <c r="AE23" s="146" t="str">
        <f>IF(Sheet2!M22=0,"",Sheet2!M22)</f>
        <v/>
      </c>
      <c r="AF23" s="146" t="str">
        <f>IF(Sheet2!N22=0,"",Sheet2!N22)</f>
        <v/>
      </c>
      <c r="AG23" s="146" t="str">
        <f>IF(Sheet2!O22=0,"",Sheet2!O22)</f>
        <v/>
      </c>
      <c r="AH23" s="146" t="str">
        <f>IF(Sheet2!P22=0,"",Sheet2!P22)</f>
        <v/>
      </c>
      <c r="AI23" s="146" t="str">
        <f>IF(Sheet2!Q22=0,"",Sheet2!Q22)</f>
        <v/>
      </c>
      <c r="AJ23" s="146" t="str">
        <f>IF(Sheet2!R22=0,"",Sheet2!R22)</f>
        <v/>
      </c>
      <c r="AK23" s="146">
        <f>IF(Sheet2!S22=0,"",Sheet2!S22)</f>
        <v>1</v>
      </c>
      <c r="AL23" s="146" t="str">
        <f>IF(Sheet2!T22=0,"",Sheet2!T22)</f>
        <v/>
      </c>
      <c r="AM23" s="146" t="str">
        <f>IF(Sheet2!U22=0,"",Sheet2!U22)</f>
        <v/>
      </c>
      <c r="AN23" s="146" t="str">
        <f>IF(Sheet2!V22=0,"",Sheet2!V22)</f>
        <v/>
      </c>
      <c r="AO23" s="146" t="str">
        <f>IF(Sheet2!W22=0,"",Sheet2!W22)</f>
        <v/>
      </c>
      <c r="AP23" s="146">
        <f>IF(Sheet2!X22=0,"",Sheet2!X22)</f>
        <v>1</v>
      </c>
      <c r="AQ23" s="146">
        <f>Sheet2!Y22</f>
        <v>0</v>
      </c>
      <c r="AR23" s="146">
        <f>Sheet2!Z22</f>
        <v>0</v>
      </c>
      <c r="AS23" s="146">
        <f>Sheet2!AA22</f>
        <v>0</v>
      </c>
      <c r="AT23" s="50"/>
      <c r="AU23" s="53"/>
      <c r="AV23" s="52"/>
      <c r="BF23" s="16"/>
      <c r="BH23" s="73"/>
      <c r="BL23" s="16"/>
      <c r="BM23" s="16"/>
    </row>
    <row r="24" spans="1:65">
      <c r="A24" s="54">
        <v>0.76041666666666796</v>
      </c>
      <c r="B24" s="63"/>
      <c r="C24" s="144"/>
      <c r="D24" s="153"/>
      <c r="E24" s="177"/>
      <c r="F24" s="161">
        <v>1</v>
      </c>
      <c r="G24" s="153"/>
      <c r="H24" s="155"/>
      <c r="I24" s="167"/>
      <c r="J24" s="153"/>
      <c r="K24" s="155"/>
      <c r="L24" s="182" t="s">
        <v>541</v>
      </c>
      <c r="M24" s="157" t="s">
        <v>503</v>
      </c>
      <c r="N24" s="67"/>
      <c r="O24" s="65"/>
      <c r="P24" s="66"/>
      <c r="Q24" s="54">
        <f t="shared" si="2"/>
        <v>0.76041666666666796</v>
      </c>
      <c r="S24" s="57" t="s">
        <v>542</v>
      </c>
      <c r="T24" s="146">
        <f>Sheet2!B23</f>
        <v>0</v>
      </c>
      <c r="U24" s="146">
        <f>Sheet2!C23</f>
        <v>0</v>
      </c>
      <c r="V24" s="146">
        <f>Sheet2!D23</f>
        <v>0</v>
      </c>
      <c r="W24" s="146">
        <f>Sheet2!E23</f>
        <v>0</v>
      </c>
      <c r="X24" s="146">
        <f>Sheet2!F23</f>
        <v>0</v>
      </c>
      <c r="Y24" s="146">
        <f>Sheet2!G23</f>
        <v>0</v>
      </c>
      <c r="Z24" s="146">
        <f>Sheet2!H23</f>
        <v>0</v>
      </c>
      <c r="AA24" s="146">
        <f>Sheet2!I23</f>
        <v>0</v>
      </c>
      <c r="AB24" s="146">
        <f>Sheet2!J23</f>
        <v>0</v>
      </c>
      <c r="AC24" s="146">
        <f>Sheet2!K23</f>
        <v>0</v>
      </c>
      <c r="AD24" s="146" t="str">
        <f>IF(Sheet2!L23=0,"",Sheet2!L23)</f>
        <v/>
      </c>
      <c r="AE24" s="146" t="str">
        <f>IF(Sheet2!M23=0,"",Sheet2!M23)</f>
        <v/>
      </c>
      <c r="AF24" s="146" t="str">
        <f>IF(Sheet2!N23=0,"",Sheet2!N23)</f>
        <v/>
      </c>
      <c r="AG24" s="146" t="str">
        <f>IF(Sheet2!O23=0,"",Sheet2!O23)</f>
        <v/>
      </c>
      <c r="AH24" s="146" t="str">
        <f>IF(Sheet2!P23=0,"",Sheet2!P23)</f>
        <v/>
      </c>
      <c r="AI24" s="146" t="str">
        <f>IF(Sheet2!Q23=0,"",Sheet2!Q23)</f>
        <v/>
      </c>
      <c r="AJ24" s="146" t="str">
        <f>IF(Sheet2!R23=0,"",Sheet2!R23)</f>
        <v/>
      </c>
      <c r="AK24" s="146" t="str">
        <f>IF(Sheet2!S23=0,"",Sheet2!S23)</f>
        <v/>
      </c>
      <c r="AL24" s="146" t="str">
        <f>IF(Sheet2!T23=0,"",Sheet2!T23)</f>
        <v/>
      </c>
      <c r="AM24" s="146" t="str">
        <f>IF(Sheet2!U23=0,"",Sheet2!U23)</f>
        <v/>
      </c>
      <c r="AN24" s="146" t="str">
        <f>IF(Sheet2!V23=0,"",Sheet2!V23)</f>
        <v/>
      </c>
      <c r="AO24" s="146" t="str">
        <f>IF(Sheet2!W23=0,"",Sheet2!W23)</f>
        <v/>
      </c>
      <c r="AP24" s="146" t="str">
        <f>IF(Sheet2!X23=0,"",Sheet2!X23)</f>
        <v/>
      </c>
      <c r="AQ24" s="146">
        <f>Sheet2!Y23</f>
        <v>0</v>
      </c>
      <c r="AR24" s="146">
        <f>Sheet2!Z23</f>
        <v>0</v>
      </c>
      <c r="AS24" s="146">
        <f>Sheet2!AA23</f>
        <v>0</v>
      </c>
      <c r="AT24" s="50"/>
      <c r="AU24" s="51"/>
      <c r="AV24" s="52"/>
      <c r="BH24" s="73" t="s">
        <v>543</v>
      </c>
      <c r="BL24" s="16"/>
      <c r="BM24" s="16"/>
    </row>
    <row r="25" spans="1:65">
      <c r="A25" s="54">
        <v>0.76388888888888995</v>
      </c>
      <c r="B25" s="63"/>
      <c r="C25" s="34"/>
      <c r="D25" s="153"/>
      <c r="E25" s="171" t="s">
        <v>544</v>
      </c>
      <c r="F25" s="153"/>
      <c r="G25" s="153"/>
      <c r="H25" s="43"/>
      <c r="I25" s="167"/>
      <c r="J25" s="153"/>
      <c r="K25" s="155"/>
      <c r="L25" s="182" t="s">
        <v>526</v>
      </c>
      <c r="M25" s="157"/>
      <c r="N25" s="67"/>
      <c r="O25" s="65"/>
      <c r="P25" s="66"/>
      <c r="Q25" s="54">
        <f t="shared" si="2"/>
        <v>0.76388888888888995</v>
      </c>
      <c r="S25" s="82" t="s">
        <v>545</v>
      </c>
      <c r="T25" s="146">
        <f>Sheet2!B24</f>
        <v>0</v>
      </c>
      <c r="U25" s="146">
        <f>Sheet2!C24</f>
        <v>0</v>
      </c>
      <c r="V25" s="146">
        <f>Sheet2!D24</f>
        <v>0</v>
      </c>
      <c r="W25" s="146">
        <f>Sheet2!E24</f>
        <v>0</v>
      </c>
      <c r="X25" s="146">
        <f>Sheet2!F24</f>
        <v>0</v>
      </c>
      <c r="Y25" s="146">
        <f>Sheet2!G24</f>
        <v>0</v>
      </c>
      <c r="Z25" s="146">
        <f>Sheet2!H24</f>
        <v>0</v>
      </c>
      <c r="AA25" s="146">
        <f>Sheet2!I24</f>
        <v>0</v>
      </c>
      <c r="AB25" s="146">
        <f>Sheet2!J24</f>
        <v>0</v>
      </c>
      <c r="AC25" s="146">
        <f>Sheet2!K24</f>
        <v>0</v>
      </c>
      <c r="AD25" s="146" t="str">
        <f>IF(Sheet2!L24=0,"",Sheet2!L24)</f>
        <v/>
      </c>
      <c r="AE25" s="146" t="str">
        <f>IF(Sheet2!M24=0,"",Sheet2!M24)</f>
        <v/>
      </c>
      <c r="AF25" s="146" t="str">
        <f>IF(Sheet2!N24=0,"",Sheet2!N24)</f>
        <v/>
      </c>
      <c r="AG25" s="146" t="str">
        <f>IF(Sheet2!O24=0,"",Sheet2!O24)</f>
        <v/>
      </c>
      <c r="AH25" s="146" t="str">
        <f>IF(Sheet2!P24=0,"",Sheet2!P24)</f>
        <v/>
      </c>
      <c r="AI25" s="146" t="str">
        <f>IF(Sheet2!Q24=0,"",Sheet2!Q24)</f>
        <v/>
      </c>
      <c r="AJ25" s="146" t="str">
        <f>IF(Sheet2!R24=0,"",Sheet2!R24)</f>
        <v/>
      </c>
      <c r="AK25" s="146" t="str">
        <f>IF(Sheet2!S24=0,"",Sheet2!S24)</f>
        <v/>
      </c>
      <c r="AL25" s="146" t="str">
        <f>IF(Sheet2!T24=0,"",Sheet2!T24)</f>
        <v/>
      </c>
      <c r="AM25" s="146" t="str">
        <f>IF(Sheet2!U24=0,"",Sheet2!U24)</f>
        <v/>
      </c>
      <c r="AN25" s="146" t="str">
        <f>IF(Sheet2!V24=0,"",Sheet2!V24)</f>
        <v/>
      </c>
      <c r="AO25" s="146" t="str">
        <f>IF(Sheet2!W24=0,"",Sheet2!W24)</f>
        <v/>
      </c>
      <c r="AP25" s="146" t="str">
        <f>IF(Sheet2!X24=0,"",Sheet2!X24)</f>
        <v/>
      </c>
      <c r="AQ25" s="146">
        <f>Sheet2!Y24</f>
        <v>0</v>
      </c>
      <c r="AR25" s="146">
        <f>Sheet2!Z24</f>
        <v>0</v>
      </c>
      <c r="AS25" s="146">
        <f>Sheet2!AA24</f>
        <v>0</v>
      </c>
      <c r="AT25" s="50"/>
      <c r="AU25" s="71"/>
      <c r="AV25" s="52"/>
      <c r="BH25" s="16"/>
      <c r="BL25" s="16"/>
      <c r="BM25" s="16"/>
    </row>
    <row r="26" spans="1:65">
      <c r="A26" s="54">
        <v>0.76736111111111305</v>
      </c>
      <c r="B26" s="83"/>
      <c r="C26" s="67"/>
      <c r="D26" s="153"/>
      <c r="E26" s="173"/>
      <c r="F26" s="153"/>
      <c r="G26" s="153"/>
      <c r="H26" s="43"/>
      <c r="I26" s="167"/>
      <c r="J26" s="153"/>
      <c r="K26" s="155"/>
      <c r="L26" s="183"/>
      <c r="M26" s="157"/>
      <c r="N26" s="67"/>
      <c r="O26" s="65"/>
      <c r="P26" s="66"/>
      <c r="Q26" s="54">
        <f t="shared" si="2"/>
        <v>0.76736111111111305</v>
      </c>
      <c r="S26" s="57" t="s">
        <v>546</v>
      </c>
      <c r="T26" s="146">
        <f>Sheet2!B25</f>
        <v>0</v>
      </c>
      <c r="U26" s="146">
        <f>Sheet2!C25</f>
        <v>0</v>
      </c>
      <c r="V26" s="146">
        <f>Sheet2!D25</f>
        <v>0</v>
      </c>
      <c r="W26" s="146">
        <f>Sheet2!E25</f>
        <v>0</v>
      </c>
      <c r="X26" s="146">
        <f>Sheet2!F25</f>
        <v>0</v>
      </c>
      <c r="Y26" s="146">
        <f>Sheet2!G25</f>
        <v>0</v>
      </c>
      <c r="Z26" s="146">
        <f>Sheet2!H25</f>
        <v>0</v>
      </c>
      <c r="AA26" s="146">
        <f>Sheet2!I25</f>
        <v>0</v>
      </c>
      <c r="AB26" s="146">
        <f>Sheet2!J25</f>
        <v>0</v>
      </c>
      <c r="AC26" s="146">
        <f>Sheet2!K25</f>
        <v>0</v>
      </c>
      <c r="AD26" s="146" t="str">
        <f>IF(Sheet2!L25=0,"",Sheet2!L25)</f>
        <v/>
      </c>
      <c r="AE26" s="146" t="str">
        <f>IF(Sheet2!M25=0,"",Sheet2!M25)</f>
        <v/>
      </c>
      <c r="AF26" s="146" t="str">
        <f>IF(Sheet2!N25=0,"",Sheet2!N25)</f>
        <v/>
      </c>
      <c r="AG26" s="146" t="str">
        <f>IF(Sheet2!O25=0,"",Sheet2!O25)</f>
        <v/>
      </c>
      <c r="AH26" s="146" t="str">
        <f>IF(Sheet2!P25=0,"",Sheet2!P25)</f>
        <v/>
      </c>
      <c r="AI26" s="146" t="str">
        <f>IF(Sheet2!Q25=0,"",Sheet2!Q25)</f>
        <v/>
      </c>
      <c r="AJ26" s="146" t="str">
        <f>IF(Sheet2!R25=0,"",Sheet2!R25)</f>
        <v/>
      </c>
      <c r="AK26" s="146" t="str">
        <f>IF(Sheet2!S25=0,"",Sheet2!S25)</f>
        <v/>
      </c>
      <c r="AL26" s="146" t="str">
        <f>IF(Sheet2!T25=0,"",Sheet2!T25)</f>
        <v/>
      </c>
      <c r="AM26" s="146" t="str">
        <f>IF(Sheet2!U25=0,"",Sheet2!U25)</f>
        <v/>
      </c>
      <c r="AN26" s="146" t="str">
        <f>IF(Sheet2!V25=0,"",Sheet2!V25)</f>
        <v/>
      </c>
      <c r="AO26" s="146" t="str">
        <f>IF(Sheet2!W25=0,"",Sheet2!W25)</f>
        <v/>
      </c>
      <c r="AP26" s="146" t="str">
        <f>IF(Sheet2!X25=0,"",Sheet2!X25)</f>
        <v/>
      </c>
      <c r="AQ26" s="146">
        <f>Sheet2!Y25</f>
        <v>0</v>
      </c>
      <c r="AR26" s="146">
        <f>Sheet2!Z25</f>
        <v>0</v>
      </c>
      <c r="AS26" s="146">
        <f>Sheet2!AA25</f>
        <v>0</v>
      </c>
      <c r="AT26" s="84"/>
      <c r="AU26" s="43"/>
      <c r="AV26" s="17"/>
      <c r="AW26" s="16"/>
      <c r="AX26" s="16"/>
      <c r="AY26" s="16"/>
      <c r="AZ26" s="16"/>
      <c r="BA26" s="16"/>
      <c r="BB26" s="16"/>
      <c r="BC26" s="16"/>
      <c r="BD26" s="16"/>
      <c r="BH26" s="64" t="s">
        <v>525</v>
      </c>
      <c r="BL26" s="16"/>
      <c r="BM26" s="16"/>
    </row>
    <row r="27" spans="1:65">
      <c r="A27" s="54">
        <v>0.77083333333333603</v>
      </c>
      <c r="B27" s="83"/>
      <c r="C27" s="67"/>
      <c r="D27" s="153"/>
      <c r="E27" s="154"/>
      <c r="F27" s="153"/>
      <c r="G27" s="153"/>
      <c r="H27" s="155"/>
      <c r="I27" s="167"/>
      <c r="J27" s="153"/>
      <c r="K27" s="155"/>
      <c r="L27" s="179" t="s">
        <v>547</v>
      </c>
      <c r="M27" s="157"/>
      <c r="N27" s="67"/>
      <c r="O27" s="65"/>
      <c r="P27" s="66"/>
      <c r="Q27" s="54">
        <f t="shared" si="2"/>
        <v>0.77083333333333603</v>
      </c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51"/>
      <c r="AV27" s="52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H27" s="68"/>
      <c r="BL27" s="16"/>
      <c r="BM27" s="16"/>
    </row>
    <row r="28" spans="1:65">
      <c r="A28" s="54">
        <v>0.77430555555555902</v>
      </c>
      <c r="B28" s="83"/>
      <c r="C28" s="67"/>
      <c r="D28" s="153"/>
      <c r="E28" s="153"/>
      <c r="F28" s="153"/>
      <c r="G28" s="153"/>
      <c r="H28" s="43"/>
      <c r="I28" s="167"/>
      <c r="J28" s="153"/>
      <c r="K28" s="155"/>
      <c r="L28" s="184" t="s">
        <v>548</v>
      </c>
      <c r="M28" s="171" t="s">
        <v>549</v>
      </c>
      <c r="N28" s="67"/>
      <c r="O28" s="65"/>
      <c r="P28" s="66"/>
      <c r="Q28" s="54">
        <f t="shared" si="2"/>
        <v>0.77430555555555902</v>
      </c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8"/>
      <c r="AQ28" s="16"/>
      <c r="AR28" s="16"/>
      <c r="AS28" s="16"/>
      <c r="AT28" s="16"/>
      <c r="AU28" s="16"/>
      <c r="AV28" s="17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68" t="s">
        <v>543</v>
      </c>
      <c r="BK28" s="16"/>
      <c r="BL28" s="16"/>
      <c r="BM28" s="16"/>
    </row>
    <row r="29" spans="1:65" ht="15.6" customHeight="1">
      <c r="A29" s="54">
        <v>0.77777777777778201</v>
      </c>
      <c r="B29" s="83"/>
      <c r="C29" s="67"/>
      <c r="D29" s="153"/>
      <c r="E29" s="153"/>
      <c r="F29" s="153"/>
      <c r="G29" s="153"/>
      <c r="H29" s="43"/>
      <c r="I29" s="167"/>
      <c r="J29" s="153"/>
      <c r="K29" s="155"/>
      <c r="L29" s="184" t="s">
        <v>505</v>
      </c>
      <c r="M29" s="172"/>
      <c r="N29" s="67"/>
      <c r="O29" s="65"/>
      <c r="P29" s="66"/>
      <c r="Q29" s="54">
        <f t="shared" si="2"/>
        <v>0.77777777777778201</v>
      </c>
      <c r="S29" s="85" t="s">
        <v>550</v>
      </c>
      <c r="T29" s="85"/>
      <c r="U29" s="85"/>
      <c r="V29" s="85"/>
      <c r="W29" s="85"/>
      <c r="X29" s="85"/>
      <c r="Y29" s="85"/>
      <c r="Z29" s="85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7"/>
      <c r="AR29" s="87"/>
      <c r="AS29" s="87"/>
      <c r="AT29" s="16"/>
      <c r="AU29" s="88" t="s">
        <v>551</v>
      </c>
      <c r="AV29" s="89"/>
      <c r="AW29" s="88" t="s">
        <v>76</v>
      </c>
      <c r="AX29" s="90"/>
      <c r="AY29" s="89"/>
      <c r="AZ29" s="88" t="s">
        <v>449</v>
      </c>
      <c r="BA29" s="90"/>
      <c r="BB29" s="89"/>
      <c r="BC29" s="90"/>
      <c r="BD29" s="88" t="s">
        <v>552</v>
      </c>
      <c r="BE29" s="89"/>
      <c r="BF29" s="16"/>
      <c r="BG29" s="16"/>
      <c r="BH29" s="16"/>
      <c r="BI29" s="16"/>
      <c r="BJ29" s="16"/>
      <c r="BK29" s="16"/>
      <c r="BL29" s="16"/>
      <c r="BM29" s="16"/>
    </row>
    <row r="30" spans="1:65" ht="15.6" customHeight="1">
      <c r="A30" s="54">
        <v>0.781250000000005</v>
      </c>
      <c r="B30" s="91"/>
      <c r="C30" s="67"/>
      <c r="D30" s="153"/>
      <c r="E30" s="153"/>
      <c r="F30" s="153"/>
      <c r="G30" s="153"/>
      <c r="H30" s="43"/>
      <c r="I30" s="174"/>
      <c r="J30" s="153"/>
      <c r="K30" s="155"/>
      <c r="L30" s="185"/>
      <c r="M30" s="173"/>
      <c r="N30" s="67"/>
      <c r="O30" s="65"/>
      <c r="P30" s="66"/>
      <c r="Q30" s="54">
        <f t="shared" si="2"/>
        <v>0.781250000000005</v>
      </c>
      <c r="S30" s="92" t="s">
        <v>454</v>
      </c>
      <c r="T30" s="92"/>
      <c r="U30" s="92"/>
      <c r="V30" s="92"/>
      <c r="W30" s="92"/>
      <c r="X30" s="92"/>
      <c r="Y30" s="92"/>
      <c r="Z30" s="92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 t="str">
        <f>IF(SUM(AK6)=0,"",SUM(AK6)*$AU30*$AV30)</f>
        <v/>
      </c>
      <c r="AL30" s="87">
        <f t="shared" ref="AL30:AL45" si="3">SUM(AL6)*$AU30*$AV30</f>
        <v>0</v>
      </c>
      <c r="AM30" s="87" t="str">
        <f t="shared" ref="AM30" si="4">IF(SUM(AM6)=0,"",(SUM(AM6)*$AW30*$AX30)+$AY30)</f>
        <v/>
      </c>
      <c r="AN30" s="87" t="str">
        <f t="shared" ref="AN30:AN50" si="5">IF(SUM(AN6)=0,"",(SUM(AN6)*$AZ30*$BA30)+$BB30)</f>
        <v/>
      </c>
      <c r="AO30" s="87">
        <f>SUM(AO6)*$BD30*$BE30</f>
        <v>0</v>
      </c>
      <c r="AP30" s="87" t="str">
        <f>IF(SUM(AP6)=0,"",SUM(AP6)*$BD30*$BE30)</f>
        <v/>
      </c>
      <c r="AQ30" s="87">
        <f>SUM(AQ6)*$BD30*$BE30</f>
        <v>0</v>
      </c>
      <c r="AR30" s="87">
        <f>SUM(AR6)*$BD30*$BE30</f>
        <v>0</v>
      </c>
      <c r="AS30" s="87">
        <f>SUM(AS6)*$BD30*$BE30</f>
        <v>0</v>
      </c>
      <c r="AT30" s="16"/>
      <c r="AU30" s="93">
        <v>1</v>
      </c>
      <c r="AV30" s="94">
        <v>3</v>
      </c>
      <c r="AW30" s="95">
        <v>0.75</v>
      </c>
      <c r="AX30" s="96">
        <v>8</v>
      </c>
      <c r="AY30" s="97">
        <v>5</v>
      </c>
      <c r="AZ30" s="95"/>
      <c r="BA30" s="96"/>
      <c r="BB30" s="97"/>
      <c r="BC30" s="98"/>
      <c r="BD30" s="93">
        <v>1</v>
      </c>
      <c r="BE30" s="94">
        <v>3</v>
      </c>
      <c r="BF30" s="16"/>
      <c r="BG30" s="16"/>
      <c r="BH30" s="99" t="s">
        <v>553</v>
      </c>
      <c r="BI30" s="16"/>
      <c r="BJ30" s="16"/>
      <c r="BK30" s="16"/>
      <c r="BL30" s="16"/>
      <c r="BM30" s="16"/>
    </row>
    <row r="31" spans="1:65">
      <c r="A31" s="54">
        <v>0.78472222222222898</v>
      </c>
      <c r="B31" s="199" t="s">
        <v>554</v>
      </c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67"/>
      <c r="O31" s="65"/>
      <c r="P31" s="66"/>
      <c r="Q31" s="54">
        <f t="shared" si="2"/>
        <v>0.78472222222222898</v>
      </c>
      <c r="S31" s="92" t="s">
        <v>496</v>
      </c>
      <c r="T31" s="92"/>
      <c r="U31" s="92"/>
      <c r="V31" s="92"/>
      <c r="W31" s="92"/>
      <c r="X31" s="92"/>
      <c r="Y31" s="92"/>
      <c r="Z31" s="92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 t="str">
        <f>IF(SUM(AK7)=0,"",SUM(AK7)*$AU31*$AV31)</f>
        <v/>
      </c>
      <c r="AL31" s="87">
        <f t="shared" si="3"/>
        <v>0</v>
      </c>
      <c r="AM31" s="87">
        <f>IF(SUM(AM7)=0,"",((SUM(AM7)*$AW31*$AX31)+$AY31))</f>
        <v>33.75</v>
      </c>
      <c r="AN31" s="87" t="str">
        <f t="shared" si="5"/>
        <v/>
      </c>
      <c r="AO31" s="87">
        <f t="shared" ref="AO31:AS46" si="6">SUM(AO7)*$BD31*$BE31</f>
        <v>0</v>
      </c>
      <c r="AP31" s="87">
        <f>IF(SUM(AP7)=0,"",SUM(AP7)*$BD31*$BE31)</f>
        <v>24</v>
      </c>
      <c r="AQ31" s="87">
        <f t="shared" si="6"/>
        <v>0</v>
      </c>
      <c r="AR31" s="87">
        <f t="shared" si="6"/>
        <v>0</v>
      </c>
      <c r="AS31" s="87">
        <f t="shared" si="6"/>
        <v>0</v>
      </c>
      <c r="AT31" s="16"/>
      <c r="AU31" s="37">
        <v>1</v>
      </c>
      <c r="AV31" s="100">
        <v>3</v>
      </c>
      <c r="AW31" s="101">
        <v>0.75</v>
      </c>
      <c r="AX31" s="102">
        <v>5</v>
      </c>
      <c r="AY31" s="103"/>
      <c r="AZ31" s="101"/>
      <c r="BA31" s="74"/>
      <c r="BB31" s="103"/>
      <c r="BC31" s="104"/>
      <c r="BD31" s="37">
        <v>1</v>
      </c>
      <c r="BE31" s="105">
        <v>3</v>
      </c>
      <c r="BF31" s="16"/>
      <c r="BG31" s="16"/>
      <c r="BH31" s="106"/>
      <c r="BI31" s="16"/>
      <c r="BJ31" s="16"/>
      <c r="BK31" s="16"/>
      <c r="BL31" s="16"/>
      <c r="BM31" s="16"/>
    </row>
    <row r="32" spans="1:65">
      <c r="A32" s="54">
        <v>0.78819444444445197</v>
      </c>
      <c r="B32" s="201"/>
      <c r="C32" s="202"/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67"/>
      <c r="O32" s="65"/>
      <c r="P32" s="66"/>
      <c r="Q32" s="107">
        <f t="shared" si="2"/>
        <v>0.78819444444445197</v>
      </c>
      <c r="S32" s="16" t="s">
        <v>497</v>
      </c>
      <c r="T32" s="16"/>
      <c r="U32" s="16"/>
      <c r="V32" s="16"/>
      <c r="W32" s="16"/>
      <c r="X32" s="16"/>
      <c r="Y32" s="16"/>
      <c r="Z32" s="16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 t="str">
        <f t="shared" ref="AK32:AK49" si="7">IF(SUM(AK8)=0,"",SUM(AK8)*$AU32*$AV32)</f>
        <v/>
      </c>
      <c r="AL32" s="87">
        <f t="shared" si="3"/>
        <v>0</v>
      </c>
      <c r="AM32" s="87">
        <f t="shared" ref="AM32:AM50" si="8">IF(SUM(AM8)=0,"",((SUM(AM8)*$AW32*$AX32)+$AY32))</f>
        <v>11</v>
      </c>
      <c r="AN32" s="87" t="str">
        <f t="shared" si="5"/>
        <v/>
      </c>
      <c r="AO32" s="87">
        <f t="shared" si="6"/>
        <v>0</v>
      </c>
      <c r="AP32" s="87" t="str">
        <f t="shared" ref="AP32:AP51" si="9">IF(SUM(AP8)=0,"",SUM(AP8)*$BD32*$BE32)</f>
        <v/>
      </c>
      <c r="AQ32" s="87">
        <f t="shared" si="6"/>
        <v>0</v>
      </c>
      <c r="AR32" s="87">
        <f t="shared" si="6"/>
        <v>0</v>
      </c>
      <c r="AS32" s="87">
        <f t="shared" si="6"/>
        <v>0</v>
      </c>
      <c r="AT32" s="16"/>
      <c r="AU32" s="37">
        <v>1</v>
      </c>
      <c r="AV32" s="100">
        <v>4</v>
      </c>
      <c r="AW32" s="101">
        <v>0.75</v>
      </c>
      <c r="AX32" s="74">
        <v>8</v>
      </c>
      <c r="AY32" s="103">
        <v>5</v>
      </c>
      <c r="AZ32" s="101">
        <v>1.25</v>
      </c>
      <c r="BA32" s="74">
        <v>8</v>
      </c>
      <c r="BB32" s="103">
        <v>5</v>
      </c>
      <c r="BC32" s="104"/>
      <c r="BD32" s="37">
        <v>1</v>
      </c>
      <c r="BE32" s="105">
        <v>4</v>
      </c>
      <c r="BF32" s="16"/>
      <c r="BG32" s="16"/>
      <c r="BH32" s="106" t="s">
        <v>526</v>
      </c>
      <c r="BI32" s="16"/>
      <c r="BJ32" s="16"/>
      <c r="BK32" s="16"/>
      <c r="BL32" s="16"/>
      <c r="BM32" s="16"/>
    </row>
    <row r="33" spans="1:65">
      <c r="A33" s="108">
        <v>0.79166666666667496</v>
      </c>
      <c r="B33" s="203" t="s">
        <v>555</v>
      </c>
      <c r="C33" s="204"/>
      <c r="D33" s="204"/>
      <c r="E33" s="204"/>
      <c r="F33" s="204"/>
      <c r="G33" s="204"/>
      <c r="H33" s="204"/>
      <c r="I33" s="204"/>
      <c r="J33" s="204"/>
      <c r="K33" s="204"/>
      <c r="L33" s="204"/>
      <c r="M33" s="204"/>
      <c r="N33" s="109"/>
      <c r="O33" s="110"/>
      <c r="P33" s="111"/>
      <c r="Q33" s="112">
        <f t="shared" si="2"/>
        <v>0.79166666666667496</v>
      </c>
      <c r="S33" s="16" t="s">
        <v>502</v>
      </c>
      <c r="T33" s="16"/>
      <c r="U33" s="16"/>
      <c r="V33" s="16"/>
      <c r="W33" s="16"/>
      <c r="X33" s="16"/>
      <c r="Y33" s="16"/>
      <c r="Z33" s="16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 t="str">
        <f t="shared" si="7"/>
        <v/>
      </c>
      <c r="AL33" s="87">
        <f t="shared" si="3"/>
        <v>0</v>
      </c>
      <c r="AM33" s="87">
        <f t="shared" si="8"/>
        <v>11</v>
      </c>
      <c r="AN33" s="87" t="str">
        <f t="shared" si="5"/>
        <v/>
      </c>
      <c r="AO33" s="87">
        <f t="shared" si="6"/>
        <v>0</v>
      </c>
      <c r="AP33" s="87" t="str">
        <f t="shared" si="9"/>
        <v/>
      </c>
      <c r="AQ33" s="87">
        <f t="shared" si="6"/>
        <v>0</v>
      </c>
      <c r="AR33" s="87">
        <f t="shared" si="6"/>
        <v>0</v>
      </c>
      <c r="AS33" s="87">
        <f t="shared" si="6"/>
        <v>0</v>
      </c>
      <c r="AT33" s="16"/>
      <c r="AU33" s="37">
        <v>1</v>
      </c>
      <c r="AV33" s="100">
        <v>4</v>
      </c>
      <c r="AW33" s="101">
        <v>0.75</v>
      </c>
      <c r="AX33" s="74">
        <v>8</v>
      </c>
      <c r="AY33" s="103">
        <v>5</v>
      </c>
      <c r="AZ33" s="101">
        <v>1.25</v>
      </c>
      <c r="BA33" s="74">
        <v>8</v>
      </c>
      <c r="BB33" s="103">
        <v>5</v>
      </c>
      <c r="BC33" s="104"/>
      <c r="BD33" s="37">
        <v>1</v>
      </c>
      <c r="BE33" s="105">
        <v>4</v>
      </c>
      <c r="BF33" s="16"/>
      <c r="BG33" s="16"/>
      <c r="BH33" s="16"/>
      <c r="BI33" s="16"/>
      <c r="BJ33" s="16"/>
      <c r="BK33" s="16"/>
      <c r="BL33" s="16"/>
      <c r="BM33" s="16"/>
    </row>
    <row r="34" spans="1:65">
      <c r="A34" s="113"/>
      <c r="B34" s="16"/>
      <c r="C34" s="16"/>
      <c r="D34" s="16"/>
      <c r="E34" s="16"/>
      <c r="F34" s="16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113"/>
      <c r="S34" s="16" t="s">
        <v>508</v>
      </c>
      <c r="T34" s="16"/>
      <c r="U34" s="16"/>
      <c r="V34" s="16"/>
      <c r="W34" s="16"/>
      <c r="X34" s="16"/>
      <c r="Y34" s="16"/>
      <c r="Z34" s="16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 t="str">
        <f t="shared" si="7"/>
        <v/>
      </c>
      <c r="AL34" s="87">
        <f t="shared" si="3"/>
        <v>0</v>
      </c>
      <c r="AM34" s="87" t="str">
        <f t="shared" si="8"/>
        <v/>
      </c>
      <c r="AN34" s="87" t="str">
        <f t="shared" si="5"/>
        <v/>
      </c>
      <c r="AO34" s="87">
        <f t="shared" si="6"/>
        <v>0</v>
      </c>
      <c r="AP34" s="87" t="str">
        <f t="shared" si="9"/>
        <v/>
      </c>
      <c r="AQ34" s="87">
        <f t="shared" si="6"/>
        <v>0</v>
      </c>
      <c r="AR34" s="87">
        <f t="shared" si="6"/>
        <v>0</v>
      </c>
      <c r="AS34" s="87">
        <f t="shared" si="6"/>
        <v>0</v>
      </c>
      <c r="AU34" s="37">
        <v>1</v>
      </c>
      <c r="AV34" s="100">
        <v>4</v>
      </c>
      <c r="AW34" s="101">
        <v>0.75</v>
      </c>
      <c r="AX34" s="74">
        <v>8</v>
      </c>
      <c r="AY34" s="103">
        <v>5</v>
      </c>
      <c r="AZ34" s="101">
        <v>1.25</v>
      </c>
      <c r="BA34" s="74">
        <v>8</v>
      </c>
      <c r="BB34" s="103">
        <v>5</v>
      </c>
      <c r="BC34" s="104"/>
      <c r="BD34" s="37">
        <v>1</v>
      </c>
      <c r="BE34" s="105">
        <v>4</v>
      </c>
      <c r="BF34" s="16"/>
      <c r="BG34" s="16"/>
      <c r="BH34" s="114" t="s">
        <v>556</v>
      </c>
      <c r="BI34" s="16"/>
      <c r="BJ34" s="115" t="s">
        <v>557</v>
      </c>
      <c r="BK34" s="115"/>
      <c r="BL34" s="33"/>
      <c r="BM34" s="33"/>
    </row>
    <row r="35" spans="1:65">
      <c r="A35" s="113"/>
      <c r="B35" s="16"/>
      <c r="C35" s="16"/>
      <c r="F35" s="16"/>
      <c r="G35" s="43"/>
      <c r="H35" s="43"/>
      <c r="I35" s="205" t="s">
        <v>558</v>
      </c>
      <c r="J35" s="205"/>
      <c r="K35" s="205"/>
      <c r="L35" s="205"/>
      <c r="M35" s="43"/>
      <c r="N35" s="43"/>
      <c r="O35" s="43"/>
      <c r="P35" s="43"/>
      <c r="Q35" s="113"/>
      <c r="S35" s="16" t="s">
        <v>511</v>
      </c>
      <c r="T35" s="16"/>
      <c r="U35" s="16"/>
      <c r="V35" s="16"/>
      <c r="W35" s="16"/>
      <c r="X35" s="16"/>
      <c r="Y35" s="16"/>
      <c r="Z35" s="16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>
        <f t="shared" si="7"/>
        <v>6</v>
      </c>
      <c r="AL35" s="87">
        <f t="shared" si="3"/>
        <v>0</v>
      </c>
      <c r="AM35" s="87" t="str">
        <f t="shared" si="8"/>
        <v/>
      </c>
      <c r="AN35" s="87" t="str">
        <f t="shared" si="5"/>
        <v/>
      </c>
      <c r="AO35" s="87">
        <f t="shared" si="6"/>
        <v>0</v>
      </c>
      <c r="AP35" s="87">
        <f t="shared" si="9"/>
        <v>4</v>
      </c>
      <c r="AQ35" s="87">
        <f t="shared" si="6"/>
        <v>0</v>
      </c>
      <c r="AR35" s="87">
        <f t="shared" si="6"/>
        <v>0</v>
      </c>
      <c r="AS35" s="87">
        <f t="shared" si="6"/>
        <v>0</v>
      </c>
      <c r="AT35" s="16"/>
      <c r="AU35" s="37">
        <v>1</v>
      </c>
      <c r="AV35" s="100">
        <v>6</v>
      </c>
      <c r="AW35" s="101">
        <v>0.75</v>
      </c>
      <c r="AX35" s="74">
        <v>8</v>
      </c>
      <c r="AY35" s="103">
        <v>5</v>
      </c>
      <c r="AZ35" s="101">
        <v>1.25</v>
      </c>
      <c r="BA35" s="74">
        <v>8</v>
      </c>
      <c r="BB35" s="103">
        <v>5</v>
      </c>
      <c r="BC35" s="104"/>
      <c r="BD35" s="37">
        <v>1</v>
      </c>
      <c r="BE35" s="105">
        <v>4</v>
      </c>
      <c r="BF35" s="16"/>
      <c r="BG35" s="16"/>
      <c r="BH35" s="116"/>
      <c r="BI35" s="16"/>
      <c r="BJ35" s="52"/>
      <c r="BK35" s="52"/>
      <c r="BL35" s="117" t="s">
        <v>559</v>
      </c>
      <c r="BM35" s="118" t="s">
        <v>560</v>
      </c>
    </row>
    <row r="36" spans="1:65">
      <c r="A36" s="113"/>
      <c r="B36" s="16"/>
      <c r="C36" s="16"/>
      <c r="F36" s="16"/>
      <c r="G36" s="43"/>
      <c r="H36" s="43"/>
      <c r="I36" s="43" t="s">
        <v>561</v>
      </c>
      <c r="J36" s="74"/>
      <c r="K36" s="43"/>
      <c r="L36" s="74" t="s">
        <v>562</v>
      </c>
      <c r="M36" s="43"/>
      <c r="N36" s="43"/>
      <c r="O36" s="43"/>
      <c r="P36" s="43"/>
      <c r="Q36" s="113"/>
      <c r="S36" s="16" t="s">
        <v>514</v>
      </c>
      <c r="T36" s="16"/>
      <c r="U36" s="16"/>
      <c r="V36" s="16"/>
      <c r="W36" s="16"/>
      <c r="X36" s="16"/>
      <c r="Y36" s="16"/>
      <c r="Z36" s="16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>
        <f t="shared" si="7"/>
        <v>6</v>
      </c>
      <c r="AL36" s="87">
        <f t="shared" si="3"/>
        <v>0</v>
      </c>
      <c r="AM36" s="87" t="str">
        <f t="shared" si="8"/>
        <v/>
      </c>
      <c r="AN36" s="87" t="str">
        <f t="shared" si="5"/>
        <v/>
      </c>
      <c r="AO36" s="87">
        <f t="shared" si="6"/>
        <v>0</v>
      </c>
      <c r="AP36" s="87" t="str">
        <f t="shared" si="9"/>
        <v/>
      </c>
      <c r="AQ36" s="87">
        <f t="shared" si="6"/>
        <v>0</v>
      </c>
      <c r="AR36" s="87">
        <f t="shared" si="6"/>
        <v>0</v>
      </c>
      <c r="AS36" s="87">
        <f t="shared" si="6"/>
        <v>0</v>
      </c>
      <c r="AU36" s="37">
        <v>1</v>
      </c>
      <c r="AV36" s="100">
        <v>6</v>
      </c>
      <c r="AW36" s="101">
        <v>0.75</v>
      </c>
      <c r="AX36" s="74">
        <v>8</v>
      </c>
      <c r="AY36" s="103">
        <v>5</v>
      </c>
      <c r="AZ36" s="101">
        <v>1.25</v>
      </c>
      <c r="BA36" s="74">
        <v>8</v>
      </c>
      <c r="BB36" s="103">
        <v>5</v>
      </c>
      <c r="BC36" s="104"/>
      <c r="BD36" s="37">
        <v>1</v>
      </c>
      <c r="BE36" s="105">
        <v>6</v>
      </c>
      <c r="BF36" s="16"/>
      <c r="BG36" s="16"/>
      <c r="BH36" s="116" t="s">
        <v>526</v>
      </c>
      <c r="BI36" s="16"/>
      <c r="BJ36" s="119" t="s">
        <v>563</v>
      </c>
      <c r="BK36" s="119"/>
      <c r="BL36" s="74">
        <v>1</v>
      </c>
      <c r="BM36" s="120">
        <v>3</v>
      </c>
    </row>
    <row r="37" spans="1:65">
      <c r="A37" s="113"/>
      <c r="B37" s="16"/>
      <c r="C37" s="16"/>
      <c r="D37" s="16"/>
      <c r="F37" s="16"/>
      <c r="G37" s="43"/>
      <c r="H37" s="43"/>
      <c r="I37" s="43" t="s">
        <v>564</v>
      </c>
      <c r="J37" s="74"/>
      <c r="K37" s="43"/>
      <c r="L37" s="33" t="s">
        <v>565</v>
      </c>
      <c r="M37" s="43"/>
      <c r="N37" s="43"/>
      <c r="O37" s="43"/>
      <c r="P37" s="43"/>
      <c r="Q37" s="113"/>
      <c r="S37" s="16" t="s">
        <v>516</v>
      </c>
      <c r="T37" s="16"/>
      <c r="U37" s="16"/>
      <c r="V37" s="16"/>
      <c r="W37" s="16"/>
      <c r="X37" s="16"/>
      <c r="Y37" s="16"/>
      <c r="Z37" s="16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>
        <f t="shared" si="7"/>
        <v>18</v>
      </c>
      <c r="AL37" s="87">
        <f t="shared" si="3"/>
        <v>0</v>
      </c>
      <c r="AM37" s="87" t="str">
        <f t="shared" si="8"/>
        <v/>
      </c>
      <c r="AN37" s="87" t="str">
        <f t="shared" si="5"/>
        <v/>
      </c>
      <c r="AO37" s="87">
        <f t="shared" si="6"/>
        <v>0</v>
      </c>
      <c r="AP37" s="87">
        <f t="shared" si="9"/>
        <v>12</v>
      </c>
      <c r="AQ37" s="87">
        <f t="shared" si="6"/>
        <v>0</v>
      </c>
      <c r="AR37" s="87">
        <f t="shared" si="6"/>
        <v>0</v>
      </c>
      <c r="AS37" s="87">
        <f t="shared" si="6"/>
        <v>0</v>
      </c>
      <c r="AT37" s="16"/>
      <c r="AU37" s="37">
        <v>1</v>
      </c>
      <c r="AV37" s="100">
        <v>6</v>
      </c>
      <c r="AW37" s="101">
        <v>0.75</v>
      </c>
      <c r="AX37" s="74">
        <v>8</v>
      </c>
      <c r="AY37" s="103">
        <v>5</v>
      </c>
      <c r="AZ37" s="101">
        <v>1.25</v>
      </c>
      <c r="BA37" s="74">
        <v>8</v>
      </c>
      <c r="BB37" s="103">
        <v>5</v>
      </c>
      <c r="BC37" s="104"/>
      <c r="BD37" s="37">
        <v>1</v>
      </c>
      <c r="BE37" s="105">
        <v>6</v>
      </c>
      <c r="BF37" s="16"/>
      <c r="BG37" s="16"/>
      <c r="BH37" s="16"/>
      <c r="BI37" s="16"/>
      <c r="BJ37" s="119" t="s">
        <v>566</v>
      </c>
      <c r="BK37" s="119"/>
      <c r="BL37" s="74">
        <v>1</v>
      </c>
      <c r="BM37" s="120">
        <v>3</v>
      </c>
    </row>
    <row r="38" spans="1:65">
      <c r="A38" s="113"/>
      <c r="B38" s="16"/>
      <c r="C38" s="16"/>
      <c r="D38" s="16"/>
      <c r="F38" s="16"/>
      <c r="G38" s="43"/>
      <c r="H38" s="43"/>
      <c r="I38" s="43" t="s">
        <v>567</v>
      </c>
      <c r="J38" s="74"/>
      <c r="K38" s="43"/>
      <c r="L38" s="74" t="s">
        <v>76</v>
      </c>
      <c r="M38" s="43"/>
      <c r="N38" s="43"/>
      <c r="O38" s="43"/>
      <c r="P38" s="43"/>
      <c r="Q38" s="113"/>
      <c r="S38" s="16" t="s">
        <v>519</v>
      </c>
      <c r="T38" s="16"/>
      <c r="U38" s="16"/>
      <c r="V38" s="16"/>
      <c r="W38" s="16"/>
      <c r="X38" s="16"/>
      <c r="Y38" s="16"/>
      <c r="Z38" s="16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 t="str">
        <f t="shared" si="7"/>
        <v/>
      </c>
      <c r="AL38" s="87">
        <f t="shared" si="3"/>
        <v>0</v>
      </c>
      <c r="AM38" s="87" t="str">
        <f t="shared" si="8"/>
        <v/>
      </c>
      <c r="AN38" s="87" t="str">
        <f t="shared" si="5"/>
        <v/>
      </c>
      <c r="AO38" s="87">
        <f t="shared" si="6"/>
        <v>0</v>
      </c>
      <c r="AP38" s="87" t="str">
        <f t="shared" si="9"/>
        <v/>
      </c>
      <c r="AQ38" s="87">
        <f t="shared" si="6"/>
        <v>0</v>
      </c>
      <c r="AR38" s="87">
        <f t="shared" si="6"/>
        <v>0</v>
      </c>
      <c r="AS38" s="87">
        <f t="shared" si="6"/>
        <v>0</v>
      </c>
      <c r="AU38" s="37">
        <v>1</v>
      </c>
      <c r="AV38" s="100">
        <v>6</v>
      </c>
      <c r="AW38" s="101">
        <v>0.75</v>
      </c>
      <c r="AX38" s="74">
        <v>8</v>
      </c>
      <c r="AY38" s="103">
        <v>5</v>
      </c>
      <c r="AZ38" s="101">
        <v>1.25</v>
      </c>
      <c r="BA38" s="74">
        <v>8</v>
      </c>
      <c r="BB38" s="103">
        <v>5</v>
      </c>
      <c r="BC38" s="104"/>
      <c r="BD38" s="37">
        <v>1</v>
      </c>
      <c r="BE38" s="105">
        <v>6</v>
      </c>
      <c r="BF38" s="16"/>
      <c r="BG38" s="16"/>
      <c r="BH38" s="121" t="s">
        <v>568</v>
      </c>
      <c r="BI38" s="16"/>
      <c r="BJ38" s="119" t="s">
        <v>569</v>
      </c>
      <c r="BK38" s="119"/>
      <c r="BL38" s="74">
        <v>1</v>
      </c>
      <c r="BM38" s="120">
        <v>8</v>
      </c>
    </row>
    <row r="39" spans="1:65">
      <c r="A39" s="113"/>
      <c r="B39" s="16"/>
      <c r="C39" s="16"/>
      <c r="D39" s="16"/>
      <c r="F39" s="16"/>
      <c r="G39" s="43"/>
      <c r="H39" s="43"/>
      <c r="I39" s="43" t="s">
        <v>570</v>
      </c>
      <c r="J39" s="74"/>
      <c r="K39" s="43"/>
      <c r="L39" s="74" t="s">
        <v>571</v>
      </c>
      <c r="M39" s="43"/>
      <c r="N39" s="43"/>
      <c r="O39" s="43"/>
      <c r="P39" s="43"/>
      <c r="Q39" s="113"/>
      <c r="S39" s="16" t="s">
        <v>572</v>
      </c>
      <c r="T39" s="16"/>
      <c r="U39" s="16"/>
      <c r="V39" s="16"/>
      <c r="W39" s="16"/>
      <c r="X39" s="16"/>
      <c r="Y39" s="16"/>
      <c r="Z39" s="16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 t="str">
        <f t="shared" si="7"/>
        <v/>
      </c>
      <c r="AL39" s="87">
        <f t="shared" si="3"/>
        <v>0</v>
      </c>
      <c r="AM39" s="87" t="str">
        <f t="shared" si="8"/>
        <v/>
      </c>
      <c r="AN39" s="87" t="str">
        <f t="shared" si="5"/>
        <v/>
      </c>
      <c r="AO39" s="87">
        <f t="shared" si="6"/>
        <v>0</v>
      </c>
      <c r="AP39" s="87" t="str">
        <f t="shared" si="9"/>
        <v/>
      </c>
      <c r="AQ39" s="87">
        <f t="shared" si="6"/>
        <v>0</v>
      </c>
      <c r="AR39" s="87">
        <f t="shared" si="6"/>
        <v>0</v>
      </c>
      <c r="AS39" s="87">
        <f t="shared" si="6"/>
        <v>0</v>
      </c>
      <c r="AT39" s="16"/>
      <c r="AU39" s="37">
        <v>1</v>
      </c>
      <c r="AV39" s="100">
        <v>6</v>
      </c>
      <c r="AW39" s="101">
        <v>0.75</v>
      </c>
      <c r="AX39" s="74">
        <v>8</v>
      </c>
      <c r="AY39" s="103">
        <v>5</v>
      </c>
      <c r="AZ39" s="101">
        <v>1.25</v>
      </c>
      <c r="BA39" s="74">
        <v>8</v>
      </c>
      <c r="BB39" s="103">
        <v>5</v>
      </c>
      <c r="BC39" s="104"/>
      <c r="BD39" s="37">
        <v>1</v>
      </c>
      <c r="BE39" s="105">
        <v>6</v>
      </c>
      <c r="BF39" s="16"/>
      <c r="BG39" s="16"/>
      <c r="BH39" s="122"/>
      <c r="BI39" s="16"/>
      <c r="BJ39" s="119" t="s">
        <v>573</v>
      </c>
      <c r="BK39" s="119"/>
      <c r="BL39" s="74">
        <v>1.5</v>
      </c>
      <c r="BM39" s="120">
        <v>8</v>
      </c>
    </row>
    <row r="40" spans="1:65">
      <c r="A40" s="113"/>
      <c r="B40" s="16"/>
      <c r="C40" s="16"/>
      <c r="D40" s="16"/>
      <c r="E40" s="16"/>
      <c r="F40" s="16"/>
      <c r="G40" s="43"/>
      <c r="H40" s="43"/>
      <c r="I40" s="43"/>
      <c r="J40" s="43"/>
      <c r="K40" s="43"/>
      <c r="L40" s="74"/>
      <c r="M40" s="43"/>
      <c r="N40" s="43"/>
      <c r="O40" s="43"/>
      <c r="P40" s="43"/>
      <c r="Q40" s="113"/>
      <c r="S40" s="92" t="s">
        <v>512</v>
      </c>
      <c r="T40" s="92"/>
      <c r="U40" s="92"/>
      <c r="V40" s="92"/>
      <c r="W40" s="92"/>
      <c r="X40" s="92"/>
      <c r="Y40" s="92"/>
      <c r="Z40" s="92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 t="str">
        <f t="shared" si="7"/>
        <v/>
      </c>
      <c r="AL40" s="87">
        <f t="shared" si="3"/>
        <v>0</v>
      </c>
      <c r="AM40" s="87">
        <f t="shared" si="8"/>
        <v>15</v>
      </c>
      <c r="AN40" s="87" t="str">
        <f t="shared" si="5"/>
        <v/>
      </c>
      <c r="AO40" s="87">
        <f t="shared" si="6"/>
        <v>0</v>
      </c>
      <c r="AP40" s="87">
        <f t="shared" si="9"/>
        <v>12</v>
      </c>
      <c r="AQ40" s="87">
        <f t="shared" si="6"/>
        <v>0</v>
      </c>
      <c r="AR40" s="87">
        <f t="shared" si="6"/>
        <v>0</v>
      </c>
      <c r="AS40" s="87">
        <f t="shared" si="6"/>
        <v>0</v>
      </c>
      <c r="AT40" s="16"/>
      <c r="AU40" s="37">
        <v>1</v>
      </c>
      <c r="AV40" s="100">
        <v>3</v>
      </c>
      <c r="AW40" s="101">
        <v>0.75</v>
      </c>
      <c r="AX40" s="102">
        <v>5</v>
      </c>
      <c r="AY40" s="103"/>
      <c r="AZ40" s="101"/>
      <c r="BA40" s="74"/>
      <c r="BB40" s="103"/>
      <c r="BC40" s="104"/>
      <c r="BD40" s="37">
        <v>1</v>
      </c>
      <c r="BE40" s="105">
        <v>3</v>
      </c>
      <c r="BF40" s="16"/>
      <c r="BG40" s="16"/>
      <c r="BH40" s="16"/>
      <c r="BI40" s="16"/>
      <c r="BJ40" s="16"/>
      <c r="BK40" s="16"/>
      <c r="BL40" s="16"/>
      <c r="BM40" s="16"/>
    </row>
    <row r="41" spans="1:65">
      <c r="A41" s="113"/>
      <c r="B41" s="16"/>
      <c r="C41" s="16"/>
      <c r="D41" s="16"/>
      <c r="E41" s="16"/>
      <c r="F41" s="16"/>
      <c r="G41" s="43"/>
      <c r="H41" s="43"/>
      <c r="I41" s="43"/>
      <c r="J41" s="43"/>
      <c r="K41" s="43"/>
      <c r="L41" s="43"/>
      <c r="M41" s="43"/>
      <c r="N41" s="123"/>
      <c r="O41" s="123"/>
      <c r="P41" s="16"/>
      <c r="Q41" s="113"/>
      <c r="R41" s="124"/>
      <c r="S41" s="16" t="s">
        <v>527</v>
      </c>
      <c r="T41" s="16"/>
      <c r="U41" s="16"/>
      <c r="V41" s="16"/>
      <c r="W41" s="16"/>
      <c r="X41" s="16"/>
      <c r="Y41" s="16"/>
      <c r="Z41" s="16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 t="str">
        <f t="shared" si="7"/>
        <v/>
      </c>
      <c r="AL41" s="87">
        <f t="shared" si="3"/>
        <v>0</v>
      </c>
      <c r="AM41" s="87">
        <f t="shared" si="8"/>
        <v>35</v>
      </c>
      <c r="AN41" s="87" t="str">
        <f t="shared" si="5"/>
        <v/>
      </c>
      <c r="AO41" s="87">
        <f t="shared" si="6"/>
        <v>0</v>
      </c>
      <c r="AP41" s="87">
        <f t="shared" si="9"/>
        <v>20</v>
      </c>
      <c r="AQ41" s="87">
        <f t="shared" si="6"/>
        <v>0</v>
      </c>
      <c r="AR41" s="87">
        <f t="shared" si="6"/>
        <v>0</v>
      </c>
      <c r="AS41" s="87">
        <f t="shared" si="6"/>
        <v>0</v>
      </c>
      <c r="AT41" s="16"/>
      <c r="AU41" s="37">
        <v>1</v>
      </c>
      <c r="AV41" s="100">
        <v>4</v>
      </c>
      <c r="AW41" s="101">
        <v>0.75</v>
      </c>
      <c r="AX41" s="74">
        <v>8</v>
      </c>
      <c r="AY41" s="103">
        <v>5</v>
      </c>
      <c r="AZ41" s="101">
        <v>1.25</v>
      </c>
      <c r="BA41" s="74">
        <v>8</v>
      </c>
      <c r="BB41" s="103">
        <v>5</v>
      </c>
      <c r="BC41" s="104"/>
      <c r="BD41" s="37">
        <v>1</v>
      </c>
      <c r="BE41" s="105">
        <v>4</v>
      </c>
      <c r="BF41" s="16"/>
      <c r="BG41" s="16"/>
      <c r="BH41" s="125" t="s">
        <v>574</v>
      </c>
      <c r="BI41" s="16"/>
      <c r="BJ41" s="16"/>
      <c r="BK41" s="16"/>
      <c r="BL41" s="16"/>
      <c r="BM41" s="16"/>
    </row>
    <row r="42" spans="1:65">
      <c r="A42" s="113"/>
      <c r="B42" s="16"/>
      <c r="C42" s="16"/>
      <c r="D42" s="16"/>
      <c r="E42" s="16"/>
      <c r="F42" s="16"/>
      <c r="G42" s="43"/>
      <c r="H42" s="43"/>
      <c r="I42" s="43"/>
      <c r="J42" s="43"/>
      <c r="K42" s="43"/>
      <c r="L42" s="43"/>
      <c r="M42" s="43"/>
      <c r="N42" s="74"/>
      <c r="O42" s="74"/>
      <c r="P42" s="74"/>
      <c r="Q42" s="74"/>
      <c r="R42" s="124"/>
      <c r="S42" s="16" t="s">
        <v>528</v>
      </c>
      <c r="T42" s="16"/>
      <c r="U42" s="16"/>
      <c r="V42" s="16"/>
      <c r="W42" s="16"/>
      <c r="X42" s="16"/>
      <c r="Y42" s="16"/>
      <c r="Z42" s="16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 t="str">
        <f t="shared" si="7"/>
        <v/>
      </c>
      <c r="AL42" s="87">
        <f t="shared" si="3"/>
        <v>0</v>
      </c>
      <c r="AM42" s="87">
        <f t="shared" si="8"/>
        <v>11</v>
      </c>
      <c r="AN42" s="87" t="str">
        <f t="shared" si="5"/>
        <v/>
      </c>
      <c r="AO42" s="87">
        <f t="shared" si="6"/>
        <v>0</v>
      </c>
      <c r="AP42" s="87">
        <f t="shared" si="9"/>
        <v>4</v>
      </c>
      <c r="AQ42" s="87">
        <f t="shared" si="6"/>
        <v>0</v>
      </c>
      <c r="AR42" s="87">
        <f t="shared" si="6"/>
        <v>0</v>
      </c>
      <c r="AS42" s="87">
        <f t="shared" si="6"/>
        <v>0</v>
      </c>
      <c r="AT42" s="16"/>
      <c r="AU42" s="37">
        <v>1</v>
      </c>
      <c r="AV42" s="100">
        <v>4</v>
      </c>
      <c r="AW42" s="101">
        <v>0.75</v>
      </c>
      <c r="AX42" s="74">
        <v>8</v>
      </c>
      <c r="AY42" s="103">
        <v>5</v>
      </c>
      <c r="AZ42" s="101">
        <v>1.25</v>
      </c>
      <c r="BA42" s="74">
        <v>8</v>
      </c>
      <c r="BB42" s="103">
        <v>5</v>
      </c>
      <c r="BC42" s="104"/>
      <c r="BD42" s="37">
        <v>1</v>
      </c>
      <c r="BE42" s="105">
        <v>4</v>
      </c>
      <c r="BF42" s="16"/>
      <c r="BG42" s="16"/>
      <c r="BH42" s="126"/>
      <c r="BI42" s="16"/>
      <c r="BJ42" s="16"/>
      <c r="BK42" s="16"/>
      <c r="BL42" s="16"/>
      <c r="BM42" s="16"/>
    </row>
    <row r="43" spans="1:65">
      <c r="A43" s="113"/>
      <c r="B43" s="16"/>
      <c r="C43" s="16"/>
      <c r="D43" s="16"/>
      <c r="E43" s="16"/>
      <c r="F43" s="16"/>
      <c r="G43" s="43"/>
      <c r="H43" s="43"/>
      <c r="I43" s="43"/>
      <c r="J43" s="43"/>
      <c r="K43" s="43"/>
      <c r="L43" s="43"/>
      <c r="M43" s="43"/>
      <c r="N43" s="74"/>
      <c r="O43" s="74"/>
      <c r="P43" s="74"/>
      <c r="Q43" s="74"/>
      <c r="R43" s="124"/>
      <c r="S43" s="16" t="s">
        <v>531</v>
      </c>
      <c r="T43" s="16"/>
      <c r="U43" s="16"/>
      <c r="V43" s="16"/>
      <c r="W43" s="16"/>
      <c r="X43" s="16"/>
      <c r="Y43" s="16"/>
      <c r="Z43" s="16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>
        <f t="shared" si="7"/>
        <v>8</v>
      </c>
      <c r="AL43" s="87">
        <f t="shared" si="3"/>
        <v>0</v>
      </c>
      <c r="AM43" s="87" t="str">
        <f t="shared" si="8"/>
        <v/>
      </c>
      <c r="AN43" s="87" t="str">
        <f t="shared" si="5"/>
        <v/>
      </c>
      <c r="AO43" s="87">
        <f t="shared" si="6"/>
        <v>0</v>
      </c>
      <c r="AP43" s="87">
        <f t="shared" si="9"/>
        <v>12</v>
      </c>
      <c r="AQ43" s="87">
        <f t="shared" si="6"/>
        <v>0</v>
      </c>
      <c r="AR43" s="87">
        <f t="shared" si="6"/>
        <v>0</v>
      </c>
      <c r="AS43" s="87">
        <f t="shared" si="6"/>
        <v>0</v>
      </c>
      <c r="AT43" s="16"/>
      <c r="AU43" s="37">
        <v>1</v>
      </c>
      <c r="AV43" s="100">
        <v>4</v>
      </c>
      <c r="AW43" s="101">
        <v>0.75</v>
      </c>
      <c r="AX43" s="74">
        <v>8</v>
      </c>
      <c r="AY43" s="103">
        <v>5</v>
      </c>
      <c r="AZ43" s="101">
        <v>1.25</v>
      </c>
      <c r="BA43" s="74">
        <v>8</v>
      </c>
      <c r="BB43" s="103">
        <v>5</v>
      </c>
      <c r="BC43" s="104"/>
      <c r="BD43" s="37">
        <v>1</v>
      </c>
      <c r="BE43" s="105">
        <v>4</v>
      </c>
      <c r="BF43" s="16"/>
      <c r="BG43" s="16"/>
      <c r="BH43" s="16"/>
      <c r="BI43" s="16"/>
      <c r="BJ43" s="16"/>
      <c r="BK43" s="16"/>
      <c r="BL43" s="16"/>
      <c r="BM43" s="16"/>
    </row>
    <row r="44" spans="1:65">
      <c r="A44" s="113"/>
      <c r="B44" s="16"/>
      <c r="C44" s="16"/>
      <c r="D44" s="16"/>
      <c r="E44" s="16"/>
      <c r="F44" s="16"/>
      <c r="G44" s="43"/>
      <c r="H44" s="43"/>
      <c r="I44" s="43"/>
      <c r="J44" s="43"/>
      <c r="K44" s="43"/>
      <c r="L44" s="43"/>
      <c r="M44" s="43"/>
      <c r="N44" s="74"/>
      <c r="O44" s="74"/>
      <c r="P44" s="74"/>
      <c r="Q44" s="74"/>
      <c r="R44" s="124"/>
      <c r="S44" s="16" t="s">
        <v>532</v>
      </c>
      <c r="T44" s="16"/>
      <c r="U44" s="16"/>
      <c r="V44" s="16"/>
      <c r="W44" s="16"/>
      <c r="X44" s="16"/>
      <c r="Y44" s="16"/>
      <c r="Z44" s="16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>
        <f t="shared" si="7"/>
        <v>8</v>
      </c>
      <c r="AL44" s="87">
        <f t="shared" si="3"/>
        <v>0</v>
      </c>
      <c r="AM44" s="87" t="str">
        <f t="shared" si="8"/>
        <v/>
      </c>
      <c r="AN44" s="87" t="str">
        <f t="shared" si="5"/>
        <v/>
      </c>
      <c r="AO44" s="87">
        <f t="shared" si="6"/>
        <v>0</v>
      </c>
      <c r="AP44" s="87">
        <f t="shared" si="9"/>
        <v>8</v>
      </c>
      <c r="AQ44" s="87">
        <f t="shared" si="6"/>
        <v>0</v>
      </c>
      <c r="AR44" s="87">
        <f t="shared" si="6"/>
        <v>0</v>
      </c>
      <c r="AS44" s="87">
        <f t="shared" si="6"/>
        <v>0</v>
      </c>
      <c r="AT44" s="16"/>
      <c r="AU44" s="37">
        <v>1</v>
      </c>
      <c r="AV44" s="100">
        <v>4</v>
      </c>
      <c r="AW44" s="101">
        <v>0.75</v>
      </c>
      <c r="AX44" s="74">
        <v>8</v>
      </c>
      <c r="AY44" s="103">
        <v>5</v>
      </c>
      <c r="AZ44" s="101">
        <v>1.25</v>
      </c>
      <c r="BA44" s="74">
        <v>8</v>
      </c>
      <c r="BB44" s="103">
        <v>5</v>
      </c>
      <c r="BC44" s="104"/>
      <c r="BD44" s="37">
        <v>1</v>
      </c>
      <c r="BE44" s="105">
        <v>4</v>
      </c>
      <c r="BF44" s="16"/>
      <c r="BG44" s="16"/>
      <c r="BH44" s="127" t="s">
        <v>575</v>
      </c>
      <c r="BI44" s="16"/>
      <c r="BJ44" s="16"/>
      <c r="BK44" s="16"/>
      <c r="BL44" s="16"/>
      <c r="BM44" s="16"/>
    </row>
    <row r="45" spans="1:65">
      <c r="A45" s="113"/>
      <c r="B45" s="16"/>
      <c r="C45" s="16"/>
      <c r="D45" s="16"/>
      <c r="E45" s="16"/>
      <c r="F45" s="16"/>
      <c r="G45" s="43"/>
      <c r="H45" s="43"/>
      <c r="I45" s="43"/>
      <c r="J45" s="43"/>
      <c r="K45" s="43"/>
      <c r="L45" s="43"/>
      <c r="M45" s="43"/>
      <c r="N45" s="74"/>
      <c r="O45" s="74"/>
      <c r="P45" s="43"/>
      <c r="Q45" s="74"/>
      <c r="R45" s="124"/>
      <c r="S45" s="16" t="s">
        <v>534</v>
      </c>
      <c r="T45" s="16"/>
      <c r="U45" s="16"/>
      <c r="V45" s="16"/>
      <c r="W45" s="16"/>
      <c r="X45" s="16"/>
      <c r="Y45" s="16"/>
      <c r="Z45" s="16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 t="str">
        <f t="shared" si="7"/>
        <v/>
      </c>
      <c r="AL45" s="87">
        <f t="shared" si="3"/>
        <v>0</v>
      </c>
      <c r="AM45" s="87" t="str">
        <f t="shared" si="8"/>
        <v/>
      </c>
      <c r="AN45" s="87" t="str">
        <f t="shared" si="5"/>
        <v/>
      </c>
      <c r="AO45" s="87">
        <f t="shared" si="6"/>
        <v>0</v>
      </c>
      <c r="AP45" s="87" t="str">
        <f t="shared" si="9"/>
        <v/>
      </c>
      <c r="AQ45" s="87">
        <f t="shared" si="6"/>
        <v>0</v>
      </c>
      <c r="AR45" s="87">
        <f t="shared" si="6"/>
        <v>0</v>
      </c>
      <c r="AS45" s="87">
        <f t="shared" si="6"/>
        <v>0</v>
      </c>
      <c r="AU45" s="37">
        <v>1</v>
      </c>
      <c r="AV45" s="100">
        <v>6</v>
      </c>
      <c r="AW45" s="101">
        <v>0.75</v>
      </c>
      <c r="AX45" s="74">
        <v>8</v>
      </c>
      <c r="AY45" s="103">
        <v>5</v>
      </c>
      <c r="AZ45" s="101">
        <v>1.25</v>
      </c>
      <c r="BA45" s="74">
        <v>8</v>
      </c>
      <c r="BB45" s="103">
        <v>5</v>
      </c>
      <c r="BC45" s="104"/>
      <c r="BD45" s="37">
        <v>1</v>
      </c>
      <c r="BE45" s="105">
        <v>6</v>
      </c>
      <c r="BF45" s="16"/>
      <c r="BG45" s="16"/>
      <c r="BH45" s="128"/>
      <c r="BI45" s="16"/>
      <c r="BJ45" s="16"/>
      <c r="BK45" s="16"/>
      <c r="BL45" s="16"/>
      <c r="BM45" s="16"/>
    </row>
    <row r="46" spans="1:65">
      <c r="A46" s="113"/>
      <c r="B46" s="16"/>
      <c r="C46" s="16"/>
      <c r="D46" s="16"/>
      <c r="E46" s="16"/>
      <c r="F46" s="16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113"/>
      <c r="R46" s="124"/>
      <c r="S46" s="16" t="s">
        <v>537</v>
      </c>
      <c r="T46" s="16"/>
      <c r="U46" s="16"/>
      <c r="V46" s="16"/>
      <c r="W46" s="16"/>
      <c r="X46" s="16"/>
      <c r="Y46" s="16"/>
      <c r="Z46" s="16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>
        <f t="shared" si="7"/>
        <v>6</v>
      </c>
      <c r="AL46" s="87">
        <f t="shared" ref="AL46:AL50" si="10">SUM(AL22)*$AU46*$AV46</f>
        <v>0</v>
      </c>
      <c r="AM46" s="87" t="str">
        <f t="shared" si="8"/>
        <v/>
      </c>
      <c r="AN46" s="87" t="str">
        <f t="shared" si="5"/>
        <v/>
      </c>
      <c r="AO46" s="87">
        <f t="shared" si="6"/>
        <v>0</v>
      </c>
      <c r="AP46" s="87" t="str">
        <f t="shared" si="9"/>
        <v/>
      </c>
      <c r="AQ46" s="87">
        <f t="shared" si="6"/>
        <v>0</v>
      </c>
      <c r="AR46" s="87">
        <f t="shared" si="6"/>
        <v>0</v>
      </c>
      <c r="AS46" s="87">
        <f t="shared" si="6"/>
        <v>0</v>
      </c>
      <c r="AT46" s="16"/>
      <c r="AU46" s="37">
        <v>1</v>
      </c>
      <c r="AV46" s="100">
        <v>6</v>
      </c>
      <c r="AW46" s="101">
        <v>0.75</v>
      </c>
      <c r="AX46" s="74">
        <v>8</v>
      </c>
      <c r="AY46" s="103">
        <v>5</v>
      </c>
      <c r="AZ46" s="101">
        <v>1.25</v>
      </c>
      <c r="BA46" s="74">
        <v>8</v>
      </c>
      <c r="BB46" s="103">
        <v>5</v>
      </c>
      <c r="BC46" s="104"/>
      <c r="BD46" s="37">
        <v>1</v>
      </c>
      <c r="BE46" s="105">
        <v>6</v>
      </c>
      <c r="BF46" s="16"/>
      <c r="BG46" s="16"/>
      <c r="BH46" s="16"/>
      <c r="BI46" s="16"/>
      <c r="BJ46" s="16"/>
      <c r="BK46" s="16"/>
      <c r="BL46" s="16"/>
      <c r="BM46" s="16"/>
    </row>
    <row r="47" spans="1:65">
      <c r="A47" s="113"/>
      <c r="B47" s="16"/>
      <c r="C47" s="16"/>
      <c r="D47" s="16"/>
      <c r="E47" s="16"/>
      <c r="F47" s="16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113"/>
      <c r="S47" s="16" t="s">
        <v>540</v>
      </c>
      <c r="T47" s="16"/>
      <c r="U47" s="16"/>
      <c r="V47" s="16"/>
      <c r="W47" s="16"/>
      <c r="X47" s="16"/>
      <c r="Y47" s="16"/>
      <c r="Z47" s="16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>
        <f t="shared" si="7"/>
        <v>6</v>
      </c>
      <c r="AL47" s="87">
        <f t="shared" si="10"/>
        <v>0</v>
      </c>
      <c r="AM47" s="87" t="str">
        <f t="shared" si="8"/>
        <v/>
      </c>
      <c r="AN47" s="87" t="str">
        <f t="shared" si="5"/>
        <v/>
      </c>
      <c r="AO47" s="87">
        <f t="shared" ref="AO47:AS50" si="11">SUM(AO23)*$BD47*$BE47</f>
        <v>0</v>
      </c>
      <c r="AP47" s="87">
        <f t="shared" si="9"/>
        <v>6</v>
      </c>
      <c r="AQ47" s="87">
        <f t="shared" si="11"/>
        <v>0</v>
      </c>
      <c r="AR47" s="87">
        <f t="shared" si="11"/>
        <v>0</v>
      </c>
      <c r="AS47" s="87">
        <f t="shared" si="11"/>
        <v>0</v>
      </c>
      <c r="AU47" s="37">
        <v>1</v>
      </c>
      <c r="AV47" s="100">
        <v>6</v>
      </c>
      <c r="AW47" s="101">
        <v>0.75</v>
      </c>
      <c r="AX47" s="74">
        <v>8</v>
      </c>
      <c r="AY47" s="103">
        <v>5</v>
      </c>
      <c r="AZ47" s="101">
        <v>1.25</v>
      </c>
      <c r="BA47" s="74">
        <v>8</v>
      </c>
      <c r="BB47" s="103">
        <v>5</v>
      </c>
      <c r="BC47" s="104"/>
      <c r="BD47" s="37">
        <v>1</v>
      </c>
      <c r="BE47" s="105">
        <v>6</v>
      </c>
      <c r="BF47" s="16"/>
      <c r="BG47" s="16"/>
      <c r="BH47" s="129" t="s">
        <v>529</v>
      </c>
      <c r="BI47" s="16"/>
      <c r="BJ47" s="16"/>
      <c r="BK47" s="16"/>
      <c r="BL47" s="16"/>
      <c r="BM47" s="16"/>
    </row>
    <row r="48" spans="1:65">
      <c r="A48" s="113"/>
      <c r="B48" s="16"/>
      <c r="C48" s="16"/>
      <c r="D48" s="16"/>
      <c r="E48" s="16"/>
      <c r="F48" s="16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113"/>
      <c r="S48" s="16" t="s">
        <v>576</v>
      </c>
      <c r="T48" s="16"/>
      <c r="U48" s="16"/>
      <c r="V48" s="16"/>
      <c r="W48" s="16"/>
      <c r="X48" s="16"/>
      <c r="Y48" s="16"/>
      <c r="Z48" s="16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 t="str">
        <f t="shared" si="7"/>
        <v/>
      </c>
      <c r="AL48" s="87">
        <f t="shared" si="10"/>
        <v>0</v>
      </c>
      <c r="AM48" s="87" t="str">
        <f t="shared" si="8"/>
        <v/>
      </c>
      <c r="AN48" s="87" t="str">
        <f t="shared" si="5"/>
        <v/>
      </c>
      <c r="AO48" s="87">
        <f t="shared" si="11"/>
        <v>0</v>
      </c>
      <c r="AP48" s="87" t="str">
        <f t="shared" si="9"/>
        <v/>
      </c>
      <c r="AQ48" s="87">
        <f t="shared" si="11"/>
        <v>0</v>
      </c>
      <c r="AR48" s="87">
        <f t="shared" si="11"/>
        <v>0</v>
      </c>
      <c r="AS48" s="87">
        <f t="shared" si="11"/>
        <v>0</v>
      </c>
      <c r="AT48" s="16"/>
      <c r="AU48" s="37">
        <v>1</v>
      </c>
      <c r="AV48" s="100">
        <v>6</v>
      </c>
      <c r="AW48" s="101">
        <v>0.75</v>
      </c>
      <c r="AX48" s="74">
        <v>8</v>
      </c>
      <c r="AY48" s="103">
        <v>5</v>
      </c>
      <c r="AZ48" s="101">
        <v>1.25</v>
      </c>
      <c r="BA48" s="74">
        <v>8</v>
      </c>
      <c r="BB48" s="103">
        <v>5</v>
      </c>
      <c r="BC48" s="104"/>
      <c r="BD48" s="37">
        <v>1</v>
      </c>
      <c r="BE48" s="105">
        <v>6</v>
      </c>
      <c r="BF48" s="16"/>
      <c r="BG48" s="16"/>
      <c r="BH48" s="130"/>
      <c r="BI48" s="16"/>
      <c r="BJ48" s="16"/>
      <c r="BK48" s="16"/>
      <c r="BL48" s="16"/>
      <c r="BM48" s="16"/>
    </row>
    <row r="49" spans="1:65">
      <c r="A49" s="113"/>
      <c r="B49" s="16"/>
      <c r="C49" s="16"/>
      <c r="D49" s="16"/>
      <c r="E49" s="16"/>
      <c r="F49" s="1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113"/>
      <c r="S49" s="16" t="s">
        <v>545</v>
      </c>
      <c r="T49" s="16"/>
      <c r="U49" s="16"/>
      <c r="V49" s="16"/>
      <c r="W49" s="16"/>
      <c r="X49" s="16"/>
      <c r="Y49" s="16"/>
      <c r="Z49" s="16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 t="str">
        <f t="shared" si="7"/>
        <v/>
      </c>
      <c r="AL49" s="87">
        <f t="shared" si="10"/>
        <v>0</v>
      </c>
      <c r="AM49" s="87" t="str">
        <f t="shared" si="8"/>
        <v/>
      </c>
      <c r="AN49" s="87" t="str">
        <f t="shared" si="5"/>
        <v/>
      </c>
      <c r="AO49" s="87">
        <f t="shared" si="11"/>
        <v>0</v>
      </c>
      <c r="AP49" s="87" t="str">
        <f t="shared" si="9"/>
        <v/>
      </c>
      <c r="AQ49" s="87">
        <f t="shared" si="11"/>
        <v>0</v>
      </c>
      <c r="AR49" s="87">
        <f t="shared" si="11"/>
        <v>0</v>
      </c>
      <c r="AS49" s="87">
        <f t="shared" si="11"/>
        <v>0</v>
      </c>
      <c r="AT49" s="16"/>
      <c r="AU49" s="37">
        <v>1</v>
      </c>
      <c r="AV49" s="100">
        <v>6</v>
      </c>
      <c r="AW49" s="101">
        <v>0.75</v>
      </c>
      <c r="AX49" s="74">
        <v>8</v>
      </c>
      <c r="AY49" s="103">
        <v>5</v>
      </c>
      <c r="AZ49" s="101">
        <v>1.25</v>
      </c>
      <c r="BA49" s="74">
        <v>8</v>
      </c>
      <c r="BB49" s="103">
        <v>5</v>
      </c>
      <c r="BC49" s="104"/>
      <c r="BD49" s="37">
        <v>1</v>
      </c>
      <c r="BE49" s="100">
        <v>6</v>
      </c>
      <c r="BF49" s="16"/>
      <c r="BG49" s="16"/>
      <c r="BH49" s="16"/>
      <c r="BI49" s="16"/>
      <c r="BJ49" s="16"/>
      <c r="BK49" s="16"/>
      <c r="BL49" s="16"/>
      <c r="BM49" s="16"/>
    </row>
    <row r="50" spans="1:65">
      <c r="A50" s="113"/>
      <c r="B50" s="16"/>
      <c r="C50" s="16"/>
      <c r="D50" s="16"/>
      <c r="E50" s="16"/>
      <c r="F50" s="16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113"/>
      <c r="S50" s="16" t="s">
        <v>546</v>
      </c>
      <c r="T50" s="16"/>
      <c r="U50" s="16"/>
      <c r="V50" s="16"/>
      <c r="W50" s="16"/>
      <c r="X50" s="16"/>
      <c r="Y50" s="16"/>
      <c r="Z50" s="16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 t="str">
        <f t="shared" ref="AK50:AK51" si="12">IF(SUM(AK26)=0,"",SUM(AK26)*$AU50*$AV50 / 5)</f>
        <v/>
      </c>
      <c r="AL50" s="87">
        <f t="shared" si="10"/>
        <v>0</v>
      </c>
      <c r="AM50" s="87" t="str">
        <f t="shared" si="8"/>
        <v/>
      </c>
      <c r="AN50" s="87" t="str">
        <f t="shared" si="5"/>
        <v/>
      </c>
      <c r="AO50" s="87">
        <f t="shared" si="11"/>
        <v>0</v>
      </c>
      <c r="AP50" s="87" t="str">
        <f t="shared" si="9"/>
        <v/>
      </c>
      <c r="AQ50" s="87">
        <f t="shared" si="11"/>
        <v>0</v>
      </c>
      <c r="AR50" s="87">
        <f t="shared" si="11"/>
        <v>0</v>
      </c>
      <c r="AS50" s="87">
        <f t="shared" si="11"/>
        <v>0</v>
      </c>
      <c r="AT50" s="16"/>
      <c r="AU50" s="131">
        <v>1</v>
      </c>
      <c r="AV50" s="132">
        <v>6</v>
      </c>
      <c r="AW50" s="133">
        <v>0.75</v>
      </c>
      <c r="AX50" s="134">
        <v>8</v>
      </c>
      <c r="AY50" s="135">
        <v>5</v>
      </c>
      <c r="AZ50" s="133">
        <v>1.25</v>
      </c>
      <c r="BA50" s="134">
        <v>8</v>
      </c>
      <c r="BB50" s="135">
        <v>5</v>
      </c>
      <c r="BC50" s="136"/>
      <c r="BD50" s="131">
        <v>1</v>
      </c>
      <c r="BE50" s="132">
        <v>6</v>
      </c>
      <c r="BF50" s="16"/>
      <c r="BG50" s="16"/>
      <c r="BH50" s="69" t="s">
        <v>577</v>
      </c>
      <c r="BI50" s="16"/>
      <c r="BJ50" s="16"/>
      <c r="BK50" s="16"/>
      <c r="BL50" s="16"/>
      <c r="BM50" s="16"/>
    </row>
    <row r="51" spans="1:65">
      <c r="A51" s="113"/>
      <c r="B51" s="16"/>
      <c r="C51" s="16"/>
      <c r="D51" s="16"/>
      <c r="E51" s="16"/>
      <c r="F51" s="16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113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87" t="str">
        <f t="shared" si="12"/>
        <v/>
      </c>
      <c r="AL51" s="137"/>
      <c r="AM51" s="137"/>
      <c r="AN51" s="137"/>
      <c r="AO51" s="137"/>
      <c r="AP51" s="87" t="str">
        <f t="shared" si="9"/>
        <v/>
      </c>
      <c r="AQ51" s="137"/>
      <c r="AR51" s="137"/>
      <c r="AS51" s="137"/>
      <c r="AT51" s="16"/>
      <c r="AU51" s="16"/>
      <c r="AV51" s="17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69"/>
      <c r="BI51" s="16"/>
      <c r="BJ51" s="16"/>
      <c r="BK51" s="16"/>
      <c r="BL51" s="16"/>
      <c r="BM51" s="16"/>
    </row>
    <row r="52" spans="1:65">
      <c r="S52" s="82" t="s">
        <v>462</v>
      </c>
      <c r="AD52">
        <f>SUM(AD30:AD50)</f>
        <v>0</v>
      </c>
      <c r="AE52">
        <f t="shared" ref="AE52:AP52" si="13">SUM(AE30:AE50)</f>
        <v>0</v>
      </c>
      <c r="AF52">
        <f t="shared" si="13"/>
        <v>0</v>
      </c>
      <c r="AG52">
        <f t="shared" si="13"/>
        <v>0</v>
      </c>
      <c r="AH52">
        <f t="shared" si="13"/>
        <v>0</v>
      </c>
      <c r="AI52">
        <f t="shared" si="13"/>
        <v>0</v>
      </c>
      <c r="AJ52">
        <f t="shared" si="13"/>
        <v>0</v>
      </c>
      <c r="AK52">
        <f t="shared" si="13"/>
        <v>58</v>
      </c>
      <c r="AL52">
        <f t="shared" si="13"/>
        <v>0</v>
      </c>
      <c r="AM52">
        <f t="shared" si="13"/>
        <v>116.75</v>
      </c>
      <c r="AN52">
        <f t="shared" si="13"/>
        <v>0</v>
      </c>
      <c r="AO52">
        <f t="shared" si="13"/>
        <v>0</v>
      </c>
      <c r="AP52">
        <f t="shared" si="13"/>
        <v>102</v>
      </c>
    </row>
  </sheetData>
  <mergeCells count="10">
    <mergeCell ref="B31:M32"/>
    <mergeCell ref="B33:M33"/>
    <mergeCell ref="I35:L35"/>
    <mergeCell ref="A1:Q1"/>
    <mergeCell ref="A2:Q2"/>
    <mergeCell ref="AV2:AX2"/>
    <mergeCell ref="G3:I3"/>
    <mergeCell ref="K3:M3"/>
    <mergeCell ref="B3:E3"/>
    <mergeCell ref="B6:M8"/>
  </mergeCells>
  <pageMargins left="0.7" right="0.7" top="0.75" bottom="0.75" header="0.3" footer="0.3"/>
  <pageSetup paperSize="9" scale="8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21FFE77B757B48A47BF1D2CA2290BB" ma:contentTypeVersion="12" ma:contentTypeDescription="Create a new document." ma:contentTypeScope="" ma:versionID="c39a547f388ab62ce8228c78adff5d37">
  <xsd:schema xmlns:xsd="http://www.w3.org/2001/XMLSchema" xmlns:xs="http://www.w3.org/2001/XMLSchema" xmlns:p="http://schemas.microsoft.com/office/2006/metadata/properties" xmlns:ns2="2f379c3e-1970-4409-9f75-9f2782fce3f9" xmlns:ns3="7e4db9c1-2e88-4107-9c87-fbc00a6b2d7e" targetNamespace="http://schemas.microsoft.com/office/2006/metadata/properties" ma:root="true" ma:fieldsID="d44dee016f74f96d0717e0ca9a1bc162" ns2:_="" ns3:_="">
    <xsd:import namespace="2f379c3e-1970-4409-9f75-9f2782fce3f9"/>
    <xsd:import namespace="7e4db9c1-2e88-4107-9c87-fbc00a6b2d7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79c3e-1970-4409-9f75-9f2782fce3f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e842598-920a-4506-a82c-69498b100c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db9c1-2e88-4107-9c87-fbc00a6b2d7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bc902ba-d87f-413f-86dd-dae390fba6e9}" ma:internalName="TaxCatchAll" ma:showField="CatchAllData" ma:web="7e4db9c1-2e88-4107-9c87-fbc00a6b2d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379c3e-1970-4409-9f75-9f2782fce3f9">
      <Terms xmlns="http://schemas.microsoft.com/office/infopath/2007/PartnerControls"/>
    </lcf76f155ced4ddcb4097134ff3c332f>
    <TaxCatchAll xmlns="7e4db9c1-2e88-4107-9c87-fbc00a6b2d7e" xsi:nil="true"/>
  </documentManagement>
</p:properties>
</file>

<file path=customXml/itemProps1.xml><?xml version="1.0" encoding="utf-8"?>
<ds:datastoreItem xmlns:ds="http://schemas.openxmlformats.org/officeDocument/2006/customXml" ds:itemID="{13D977AF-CECD-49CA-BE9E-AC000E4F1CC1}"/>
</file>

<file path=customXml/itemProps2.xml><?xml version="1.0" encoding="utf-8"?>
<ds:datastoreItem xmlns:ds="http://schemas.openxmlformats.org/officeDocument/2006/customXml" ds:itemID="{FE8BA11B-C2AA-49D3-B594-4ED273B219EE}"/>
</file>

<file path=customXml/itemProps3.xml><?xml version="1.0" encoding="utf-8"?>
<ds:datastoreItem xmlns:ds="http://schemas.openxmlformats.org/officeDocument/2006/customXml" ds:itemID="{1F85C54C-52FB-4F1F-8BA1-22C31D189B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Åsmund Grammeltvedt</cp:lastModifiedBy>
  <cp:revision/>
  <dcterms:created xsi:type="dcterms:W3CDTF">2025-02-22T18:23:38Z</dcterms:created>
  <dcterms:modified xsi:type="dcterms:W3CDTF">2025-05-19T20:18:32Z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0x010100E421FFE77B757B48A47BF1D2CA2290BB</vt:lpwstr>
  </property>
  <property fmtid="{D5CDD505-2E9C-101B-9397-08002B2CF9AE}" pid="3" name="MediaServiceImageTags">
    <vt:lpwstr/>
  </property>
</Properties>
</file>